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alancedDataOutcome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<sst xmlns="http://schemas.openxmlformats.org/spreadsheetml/2006/main" uniqueCount="49">
  <si>
    <t>balancedDataOutcomes</t>
  </si>
  <si>
    <t>Classifier Name</t>
  </si>
  <si>
    <t>Training or test set</t>
  </si>
  <si>
    <t>Balanced or unbalanced train set</t>
  </si>
  <si>
    <t>Number of training samples</t>
  </si>
  <si>
    <t>Number of non-healthy companies in training sample</t>
  </si>
  <si>
    <t>True positives TP</t>
  </si>
  <si>
    <t>True negatives TN</t>
  </si>
  <si>
    <t>False positives FP</t>
  </si>
  <si>
    <t>False negatives FN</t>
  </si>
  <si>
    <t>ROC-AUC</t>
  </si>
  <si>
    <t>Accuracy</t>
  </si>
  <si>
    <t>Precision</t>
  </si>
  <si>
    <t>Recall</t>
  </si>
  <si>
    <t>F1 Score</t>
  </si>
  <si>
    <t>Specificity</t>
  </si>
  <si>
    <t>Balanced Accuracy</t>
  </si>
  <si>
    <t>LDA</t>
  </si>
  <si>
    <t>Train</t>
  </si>
  <si>
    <t>Balanced</t>
  </si>
  <si>
    <t>0.84</t>
  </si>
  <si>
    <t>Test</t>
  </si>
  <si>
    <t>Unbalanced</t>
  </si>
  <si>
    <t>0.85</t>
  </si>
  <si>
    <t>Logistic Regression</t>
  </si>
  <si>
    <t>Decision Tree</t>
  </si>
  <si>
    <t>1.0</t>
  </si>
  <si>
    <t>0.66</t>
  </si>
  <si>
    <t>Random Forest</t>
  </si>
  <si>
    <t>0.87</t>
  </si>
  <si>
    <t>KNN</t>
  </si>
  <si>
    <t>0.91</t>
  </si>
  <si>
    <t>0.82</t>
  </si>
  <si>
    <t>Naive Bayes</t>
  </si>
  <si>
    <t>0.83</t>
  </si>
  <si>
    <t>SVM</t>
  </si>
  <si>
    <t>0.88</t>
  </si>
  <si>
    <t>Gradient Boosting</t>
  </si>
  <si>
    <t>0.99</t>
  </si>
  <si>
    <t>0.86</t>
  </si>
  <si>
    <t>0.61</t>
  </si>
  <si>
    <t>0.9</t>
  </si>
  <si>
    <t>0.81</t>
  </si>
  <si>
    <t>0.79</t>
  </si>
  <si>
    <t>0.64</t>
  </si>
  <si>
    <t>0.92</t>
  </si>
  <si>
    <t>0.78</t>
  </si>
  <si>
    <t>0.89</t>
  </si>
  <si>
    <t>0.8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</si>
</sst>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2" fontId="0" fillId="2" borderId="8" applyNumberFormat="1" applyFont="1" applyFill="1" applyBorder="1" applyAlignment="1" applyProtection="0">
      <alignment vertical="top"/>
    </xf>
    <xf numFmtId="49" fontId="3" fillId="4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0" fontId="0" fillId="2" borderId="11" applyNumberFormat="1" applyFont="1" applyFill="1" applyBorder="1" applyAlignment="1" applyProtection="0">
      <alignment vertical="top"/>
    </xf>
    <xf numFmtId="2" fontId="0" fillId="2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66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3516" style="1" customWidth="1"/>
    <col min="2" max="2" width="16.3516" style="1" customWidth="1"/>
    <col min="3" max="3" width="27.6719" style="1" customWidth="1"/>
    <col min="4" max="4" width="23.5" style="1" customWidth="1"/>
    <col min="5" max="5" width="43.6719" style="1" customWidth="1"/>
    <col min="6" max="6" width="15.1719" style="1" customWidth="1"/>
    <col min="7" max="8" width="15.8516" style="1" customWidth="1"/>
    <col min="9" max="9" width="16.5" style="1" customWidth="1"/>
    <col min="10" max="15" width="9.5" style="1" customWidth="1"/>
    <col min="16" max="16" width="18.1641" style="1" customWidth="1"/>
    <col min="17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</row>
    <row r="3" ht="20.25" customHeight="1">
      <c r="A3" t="s" s="6">
        <v>17</v>
      </c>
      <c r="B3" t="s" s="7">
        <v>18</v>
      </c>
      <c r="C3" t="s" s="8">
        <v>19</v>
      </c>
      <c r="D3" s="9">
        <v>744</v>
      </c>
      <c r="E3" s="9">
        <v>186</v>
      </c>
      <c r="F3" s="9">
        <v>80</v>
      </c>
      <c r="G3" s="9">
        <v>521</v>
      </c>
      <c r="H3" s="9">
        <v>37</v>
      </c>
      <c r="I3" s="9">
        <v>106</v>
      </c>
      <c r="J3" t="s" s="8">
        <v>20</v>
      </c>
      <c r="K3" s="10" cm="1">
        <f t="array" ref="K3">(F3+G3)/(F3+G3+H3+I3)</f>
        <v>0.807795698924731</v>
      </c>
      <c r="L3" s="10" cm="1">
        <f t="array" ref="L3">(F3)/(F3+H3)</f>
        <v>0.683760683760684</v>
      </c>
      <c r="M3" s="10" cm="1">
        <f t="array" ref="M3">(F3)/(F3+H3)</f>
        <v>0.683760683760684</v>
      </c>
      <c r="N3" s="10" cm="1">
        <f t="array" ref="N3">(2*F3)/(2*F3+H3+I3)</f>
        <v>0.528052805280528</v>
      </c>
      <c r="O3" s="10" cm="1">
        <f t="array" ref="O3">G3/(G3+I3)</f>
        <v>0.830940988835726</v>
      </c>
      <c r="P3" s="10" cm="1">
        <f t="array" ref="P3">(M3+O3)/2</f>
        <v>0.757350836298205</v>
      </c>
    </row>
    <row r="4" ht="20.05" customHeight="1">
      <c r="A4" t="s" s="11">
        <v>17</v>
      </c>
      <c r="B4" t="s" s="12">
        <v>21</v>
      </c>
      <c r="C4" t="s" s="13">
        <v>22</v>
      </c>
      <c r="D4" s="14">
        <v>744</v>
      </c>
      <c r="E4" s="14">
        <v>186</v>
      </c>
      <c r="F4" s="14">
        <v>28</v>
      </c>
      <c r="G4" s="14">
        <v>2393</v>
      </c>
      <c r="H4" s="14">
        <v>224</v>
      </c>
      <c r="I4" s="14">
        <v>34</v>
      </c>
      <c r="J4" t="s" s="13">
        <v>23</v>
      </c>
      <c r="K4" s="10" cm="1">
        <f t="array" ref="K4">(F4+G4)/(F4+G4+H4+I4)</f>
        <v>0.903695408734602</v>
      </c>
      <c r="L4" s="10" cm="1">
        <f t="array" ref="L4">(F4)/(F4+H4)</f>
        <v>0.111111111111111</v>
      </c>
      <c r="M4" s="10" cm="1">
        <f t="array" ref="M4">(F4)/(F4+H4)</f>
        <v>0.111111111111111</v>
      </c>
      <c r="N4" s="10" cm="1">
        <f t="array" ref="N4">(2*F4)/(2*F4+H4+I4)</f>
        <v>0.178343949044586</v>
      </c>
      <c r="O4" s="10" cm="1">
        <f t="array" ref="O4">G4/(G4+I4)</f>
        <v>0.9859909353110839</v>
      </c>
      <c r="P4" s="10" cm="1">
        <f t="array" ref="P4">(M4+O4)/2</f>
        <v>0.5485510232110981</v>
      </c>
    </row>
    <row r="5" ht="20.05" customHeight="1">
      <c r="A5" t="s" s="11">
        <v>24</v>
      </c>
      <c r="B5" t="s" s="12">
        <v>18</v>
      </c>
      <c r="C5" t="s" s="13">
        <v>19</v>
      </c>
      <c r="D5" s="14">
        <v>744</v>
      </c>
      <c r="E5" s="14">
        <v>186</v>
      </c>
      <c r="F5" s="14">
        <v>68</v>
      </c>
      <c r="G5" s="14">
        <v>530</v>
      </c>
      <c r="H5" s="14">
        <v>28</v>
      </c>
      <c r="I5" s="14">
        <v>118</v>
      </c>
      <c r="J5" t="s" s="13">
        <v>20</v>
      </c>
      <c r="K5" s="10" cm="1">
        <f t="array" ref="K5">(F5+G5)/(F5+G5+H5+I5)</f>
        <v>0.803763440860215</v>
      </c>
      <c r="L5" s="10" cm="1">
        <f t="array" ref="L5">(F5)/(F5+H5)</f>
        <v>0.708333333333333</v>
      </c>
      <c r="M5" s="10" cm="1">
        <f t="array" ref="M5">(F5)/(F5+H5)</f>
        <v>0.708333333333333</v>
      </c>
      <c r="N5" s="10" cm="1">
        <f t="array" ref="N5">(2*F5)/(2*F5+H5+I5)</f>
        <v>0.482269503546099</v>
      </c>
      <c r="O5" s="10" cm="1">
        <f t="array" ref="O5">G5/(G5+I5)</f>
        <v>0.817901234567901</v>
      </c>
      <c r="P5" s="10" cm="1">
        <f t="array" ref="P5">(M5+O5)/2</f>
        <v>0.763117283950617</v>
      </c>
    </row>
    <row r="6" ht="20.05" customHeight="1">
      <c r="A6" t="s" s="11">
        <v>24</v>
      </c>
      <c r="B6" t="s" s="12">
        <v>21</v>
      </c>
      <c r="C6" t="s" s="13">
        <v>22</v>
      </c>
      <c r="D6" s="14">
        <v>744</v>
      </c>
      <c r="E6" s="14">
        <v>186</v>
      </c>
      <c r="F6" s="14">
        <v>22</v>
      </c>
      <c r="G6" s="14">
        <v>2435</v>
      </c>
      <c r="H6" s="14">
        <v>182</v>
      </c>
      <c r="I6" s="14">
        <v>40</v>
      </c>
      <c r="J6" t="s" s="13">
        <v>20</v>
      </c>
      <c r="K6" s="10" cm="1">
        <f t="array" ref="K6">(F6+G6)/(F6+G6+H6+I6)</f>
        <v>0.917133258678611</v>
      </c>
      <c r="L6" s="10" cm="1">
        <f t="array" ref="L6">(F6)/(F6+H6)</f>
        <v>0.107843137254902</v>
      </c>
      <c r="M6" s="10" cm="1">
        <f t="array" ref="M6">(F6)/(F6+H6)</f>
        <v>0.107843137254902</v>
      </c>
      <c r="N6" s="10" cm="1">
        <f t="array" ref="N6">(2*F6)/(2*F6+H6+I6)</f>
        <v>0.165413533834586</v>
      </c>
      <c r="O6" s="10" cm="1">
        <f t="array" ref="O6">G6/(G6+I6)</f>
        <v>0.983838383838384</v>
      </c>
      <c r="P6" s="10" cm="1">
        <f t="array" ref="P6">(M6+O6)/2</f>
        <v>0.545840760546643</v>
      </c>
    </row>
    <row r="7" ht="20.05" customHeight="1">
      <c r="A7" t="s" s="11">
        <v>25</v>
      </c>
      <c r="B7" t="s" s="12">
        <v>18</v>
      </c>
      <c r="C7" t="s" s="13">
        <v>19</v>
      </c>
      <c r="D7" s="14">
        <v>744</v>
      </c>
      <c r="E7" s="14">
        <v>186</v>
      </c>
      <c r="F7" s="14">
        <v>186</v>
      </c>
      <c r="G7" s="14">
        <v>558</v>
      </c>
      <c r="H7" s="14">
        <v>0</v>
      </c>
      <c r="I7" s="14">
        <v>0</v>
      </c>
      <c r="J7" t="s" s="13">
        <v>26</v>
      </c>
      <c r="K7" s="10" cm="1">
        <f t="array" ref="K7">(F7+G7)/(F7+G7+H7+I7)</f>
        <v>1</v>
      </c>
      <c r="L7" s="10" cm="1">
        <f t="array" ref="L7">(F7)/(F7+H7)</f>
        <v>1</v>
      </c>
      <c r="M7" s="10" cm="1">
        <f t="array" ref="M7">(F7)/(F7+H7)</f>
        <v>1</v>
      </c>
      <c r="N7" s="10" cm="1">
        <f t="array" ref="N7">(2*F7)/(2*F7+H7+I7)</f>
        <v>1</v>
      </c>
      <c r="O7" s="10" cm="1">
        <f t="array" ref="O7">G7/(G7+I7)</f>
        <v>1</v>
      </c>
      <c r="P7" s="10" cm="1">
        <f t="array" ref="P7">(M7+O7)/2</f>
        <v>1</v>
      </c>
    </row>
    <row r="8" ht="20.05" customHeight="1">
      <c r="A8" t="s" s="11">
        <v>25</v>
      </c>
      <c r="B8" t="s" s="12">
        <v>21</v>
      </c>
      <c r="C8" t="s" s="13">
        <v>22</v>
      </c>
      <c r="D8" s="14">
        <v>744</v>
      </c>
      <c r="E8" s="14">
        <v>186</v>
      </c>
      <c r="F8" s="14">
        <v>33</v>
      </c>
      <c r="G8" s="14">
        <v>2080</v>
      </c>
      <c r="H8" s="14">
        <v>537</v>
      </c>
      <c r="I8" s="14">
        <v>29</v>
      </c>
      <c r="J8" t="s" s="13">
        <v>27</v>
      </c>
      <c r="K8" s="10" cm="1">
        <f t="array" ref="K8">(F8+G8)/(F8+G8+H8+I8)</f>
        <v>0.7887271369914149</v>
      </c>
      <c r="L8" s="10" cm="1">
        <f t="array" ref="L8">(F8)/(F8+H8)</f>
        <v>0.0578947368421053</v>
      </c>
      <c r="M8" s="10" cm="1">
        <f t="array" ref="M8">(F8)/(F8+H8)</f>
        <v>0.0578947368421053</v>
      </c>
      <c r="N8" s="10" cm="1">
        <f t="array" ref="N8">(2*F8)/(2*F8+H8+I8)</f>
        <v>0.104430379746835</v>
      </c>
      <c r="O8" s="10" cm="1">
        <f t="array" ref="O8">G8/(G8+I8)</f>
        <v>0.986249407302039</v>
      </c>
      <c r="P8" s="10" cm="1">
        <f t="array" ref="P8">(M8+O8)/2</f>
        <v>0.522072072072072</v>
      </c>
    </row>
    <row r="9" ht="20.05" customHeight="1">
      <c r="A9" t="s" s="11">
        <v>28</v>
      </c>
      <c r="B9" t="s" s="12">
        <v>18</v>
      </c>
      <c r="C9" t="s" s="13">
        <v>19</v>
      </c>
      <c r="D9" s="14">
        <v>744</v>
      </c>
      <c r="E9" s="14">
        <v>186</v>
      </c>
      <c r="F9" s="14">
        <v>186</v>
      </c>
      <c r="G9" s="14">
        <v>558</v>
      </c>
      <c r="H9" s="14">
        <v>0</v>
      </c>
      <c r="I9" s="14">
        <v>0</v>
      </c>
      <c r="J9" t="s" s="13">
        <v>26</v>
      </c>
      <c r="K9" s="10" cm="1">
        <f t="array" ref="K9">(F9+G9)/(F9+G9+H9+I9)</f>
        <v>1</v>
      </c>
      <c r="L9" s="10" cm="1">
        <f t="array" ref="L9">(F9)/(F9+H9)</f>
        <v>1</v>
      </c>
      <c r="M9" s="10" cm="1">
        <f t="array" ref="M9">(F9)/(F9+H9)</f>
        <v>1</v>
      </c>
      <c r="N9" s="10" cm="1">
        <f t="array" ref="N9">(2*F9)/(2*F9+H9+I9)</f>
        <v>1</v>
      </c>
      <c r="O9" s="10" cm="1">
        <f t="array" ref="O9">G9/(G9+I9)</f>
        <v>1</v>
      </c>
      <c r="P9" s="10" cm="1">
        <f t="array" ref="P9">(M9+O9)/2</f>
        <v>1</v>
      </c>
    </row>
    <row r="10" ht="20.05" customHeight="1">
      <c r="A10" t="s" s="11">
        <v>28</v>
      </c>
      <c r="B10" t="s" s="12">
        <v>21</v>
      </c>
      <c r="C10" t="s" s="13">
        <v>22</v>
      </c>
      <c r="D10" s="14">
        <v>744</v>
      </c>
      <c r="E10" s="14">
        <v>186</v>
      </c>
      <c r="F10" s="14">
        <v>32</v>
      </c>
      <c r="G10" s="14">
        <v>2398</v>
      </c>
      <c r="H10" s="14">
        <v>219</v>
      </c>
      <c r="I10" s="14">
        <v>30</v>
      </c>
      <c r="J10" t="s" s="13">
        <v>29</v>
      </c>
      <c r="K10" s="10" cm="1">
        <f t="array" ref="K10">(F10+G10)/(F10+G10+H10+I10)</f>
        <v>0.907054871220605</v>
      </c>
      <c r="L10" s="10" cm="1">
        <f t="array" ref="L10">(F10)/(F10+H10)</f>
        <v>0.127490039840637</v>
      </c>
      <c r="M10" s="10" cm="1">
        <f t="array" ref="M10">(F10)/(F10+H10)</f>
        <v>0.127490039840637</v>
      </c>
      <c r="N10" s="10" cm="1">
        <f t="array" ref="N10">(2*F10)/(2*F10+H10+I10)</f>
        <v>0.204472843450479</v>
      </c>
      <c r="O10" s="10" cm="1">
        <f t="array" ref="O10">G10/(G10+I10)</f>
        <v>0.987644151565074</v>
      </c>
      <c r="P10" s="10" cm="1">
        <f t="array" ref="P10">(M10+O10)/2</f>
        <v>0.557567095702856</v>
      </c>
    </row>
    <row r="11" ht="20.05" customHeight="1">
      <c r="A11" t="s" s="11">
        <v>30</v>
      </c>
      <c r="B11" t="s" s="12">
        <v>18</v>
      </c>
      <c r="C11" t="s" s="13">
        <v>19</v>
      </c>
      <c r="D11" s="14">
        <v>744</v>
      </c>
      <c r="E11" s="14">
        <v>186</v>
      </c>
      <c r="F11" s="14">
        <v>115</v>
      </c>
      <c r="G11" s="14">
        <v>518</v>
      </c>
      <c r="H11" s="14">
        <v>40</v>
      </c>
      <c r="I11" s="14">
        <v>71</v>
      </c>
      <c r="J11" t="s" s="13">
        <v>31</v>
      </c>
      <c r="K11" s="10" cm="1">
        <f t="array" ref="K11">(F11+G11)/(F11+G11+H11+I11)</f>
        <v>0.850806451612903</v>
      </c>
      <c r="L11" s="10" cm="1">
        <f t="array" ref="L11">(F11)/(F11+H11)</f>
        <v>0.741935483870968</v>
      </c>
      <c r="M11" s="10" cm="1">
        <f t="array" ref="M11">(F11)/(F11+H11)</f>
        <v>0.741935483870968</v>
      </c>
      <c r="N11" s="10" cm="1">
        <f t="array" ref="N11">(2*F11)/(2*F11+H11+I11)</f>
        <v>0.674486803519062</v>
      </c>
      <c r="O11" s="10" cm="1">
        <f t="array" ref="O11">G11/(G11+I11)</f>
        <v>0.879456706281834</v>
      </c>
      <c r="P11" s="10" cm="1">
        <f t="array" ref="P11">(M11+O11)/2</f>
        <v>0.8106960950764009</v>
      </c>
    </row>
    <row r="12" ht="20.05" customHeight="1">
      <c r="A12" t="s" s="11">
        <v>30</v>
      </c>
      <c r="B12" t="s" s="12">
        <v>21</v>
      </c>
      <c r="C12" t="s" s="13">
        <v>22</v>
      </c>
      <c r="D12" s="14">
        <v>744</v>
      </c>
      <c r="E12" s="14">
        <v>186</v>
      </c>
      <c r="F12" s="14">
        <v>36</v>
      </c>
      <c r="G12" s="14">
        <v>2303</v>
      </c>
      <c r="H12" s="14">
        <v>314</v>
      </c>
      <c r="I12" s="14">
        <v>26</v>
      </c>
      <c r="J12" t="s" s="13">
        <v>32</v>
      </c>
      <c r="K12" s="10" cm="1">
        <f t="array" ref="K12">(F12+G12)/(F12+G12+H12+I12)</f>
        <v>0.873086972751027</v>
      </c>
      <c r="L12" s="10" cm="1">
        <f t="array" ref="L12">(F12)/(F12+H12)</f>
        <v>0.102857142857143</v>
      </c>
      <c r="M12" s="10" cm="1">
        <f t="array" ref="M12">(F12)/(F12+H12)</f>
        <v>0.102857142857143</v>
      </c>
      <c r="N12" s="10" cm="1">
        <f t="array" ref="N12">(2*F12)/(2*F12+H12+I12)</f>
        <v>0.174757281553398</v>
      </c>
      <c r="O12" s="10" cm="1">
        <f t="array" ref="O12">G12/(G12+I12)</f>
        <v>0.988836410476599</v>
      </c>
      <c r="P12" s="10" cm="1">
        <f t="array" ref="P12">(M12+O12)/2</f>
        <v>0.545846776666871</v>
      </c>
    </row>
    <row r="13" ht="20.05" customHeight="1">
      <c r="A13" t="s" s="11">
        <v>33</v>
      </c>
      <c r="B13" t="s" s="12">
        <v>18</v>
      </c>
      <c r="C13" t="s" s="13">
        <v>19</v>
      </c>
      <c r="D13" s="14">
        <v>744</v>
      </c>
      <c r="E13" s="14">
        <v>186</v>
      </c>
      <c r="F13" s="14">
        <v>107</v>
      </c>
      <c r="G13" s="14">
        <v>489</v>
      </c>
      <c r="H13" s="14">
        <v>69</v>
      </c>
      <c r="I13" s="14">
        <v>79</v>
      </c>
      <c r="J13" t="s" s="13">
        <v>34</v>
      </c>
      <c r="K13" s="10" cm="1">
        <f t="array" ref="K13">(F13+G13)/(F13+G13+H13+I13)</f>
        <v>0.801075268817204</v>
      </c>
      <c r="L13" s="10" cm="1">
        <f t="array" ref="L13">(F13)/(F13+H13)</f>
        <v>0.607954545454545</v>
      </c>
      <c r="M13" s="10" cm="1">
        <f t="array" ref="M13">(F13)/(F13+H13)</f>
        <v>0.607954545454545</v>
      </c>
      <c r="N13" s="10" cm="1">
        <f t="array" ref="N13">(2*F13)/(2*F13+H13+I13)</f>
        <v>0.591160220994475</v>
      </c>
      <c r="O13" s="10" cm="1">
        <f t="array" ref="O13">G13/(G13+I13)</f>
        <v>0.8609154929577461</v>
      </c>
      <c r="P13" s="10" cm="1">
        <f t="array" ref="P13">(M13+O13)/2</f>
        <v>0.734435019206146</v>
      </c>
    </row>
    <row r="14" ht="20.05" customHeight="1">
      <c r="A14" t="s" s="11">
        <v>33</v>
      </c>
      <c r="B14" t="s" s="12">
        <v>21</v>
      </c>
      <c r="C14" t="s" s="13">
        <v>22</v>
      </c>
      <c r="D14" s="14">
        <v>744</v>
      </c>
      <c r="E14" s="14">
        <v>186</v>
      </c>
      <c r="F14" s="14">
        <v>41</v>
      </c>
      <c r="G14" s="14">
        <v>2230</v>
      </c>
      <c r="H14" s="14">
        <v>387</v>
      </c>
      <c r="I14" s="14">
        <v>21</v>
      </c>
      <c r="J14" t="s" s="13">
        <v>23</v>
      </c>
      <c r="K14" s="10" cm="1">
        <f t="array" ref="K14">(F14+G14)/(F14+G14+H14+I14)</f>
        <v>0.847704367301232</v>
      </c>
      <c r="L14" s="10" cm="1">
        <f t="array" ref="L14">(F14)/(F14+H14)</f>
        <v>0.0957943925233645</v>
      </c>
      <c r="M14" s="10" cm="1">
        <f t="array" ref="M14">(F14)/(F14+H14)</f>
        <v>0.0957943925233645</v>
      </c>
      <c r="N14" s="10" cm="1">
        <f t="array" ref="N14">(2*F14)/(2*F14+H14+I14)</f>
        <v>0.16734693877551</v>
      </c>
      <c r="O14" s="10" cm="1">
        <f t="array" ref="O14">G14/(G14+I14)</f>
        <v>0.990670812972012</v>
      </c>
      <c r="P14" s="10" cm="1">
        <f t="array" ref="P14">(M14+O14)/2</f>
        <v>0.543232602747688</v>
      </c>
    </row>
    <row r="15" ht="20.05" customHeight="1">
      <c r="A15" t="s" s="11">
        <v>35</v>
      </c>
      <c r="B15" t="s" s="12">
        <v>18</v>
      </c>
      <c r="C15" t="s" s="13">
        <v>19</v>
      </c>
      <c r="D15" s="14">
        <v>744</v>
      </c>
      <c r="E15" s="14">
        <v>186</v>
      </c>
      <c r="F15" s="14">
        <v>84</v>
      </c>
      <c r="G15" s="14">
        <v>533</v>
      </c>
      <c r="H15" s="14">
        <v>25</v>
      </c>
      <c r="I15" s="14">
        <v>102</v>
      </c>
      <c r="J15" t="s" s="13">
        <v>36</v>
      </c>
      <c r="K15" s="10" cm="1">
        <f t="array" ref="K15">(F15+G15)/(F15+G15+H15+I15)</f>
        <v>0.829301075268817</v>
      </c>
      <c r="L15" s="10" cm="1">
        <f t="array" ref="L15">(F15)/(F15+H15)</f>
        <v>0.770642201834862</v>
      </c>
      <c r="M15" s="10" cm="1">
        <f t="array" ref="M15">(F15)/(F15+H15)</f>
        <v>0.770642201834862</v>
      </c>
      <c r="N15" s="10" cm="1">
        <f t="array" ref="N15">(2*F15)/(2*F15+H15+I15)</f>
        <v>0.5694915254237291</v>
      </c>
      <c r="O15" s="10" cm="1">
        <f t="array" ref="O15">G15/(G15+I15)</f>
        <v>0.839370078740157</v>
      </c>
      <c r="P15" s="10" cm="1">
        <f t="array" ref="P15">(M15+O15)/2</f>
        <v>0.8050061402875101</v>
      </c>
    </row>
    <row r="16" ht="20.05" customHeight="1">
      <c r="A16" t="s" s="11">
        <v>35</v>
      </c>
      <c r="B16" t="s" s="12">
        <v>21</v>
      </c>
      <c r="C16" t="s" s="13">
        <v>22</v>
      </c>
      <c r="D16" s="14">
        <v>744</v>
      </c>
      <c r="E16" s="14">
        <v>186</v>
      </c>
      <c r="F16" s="14">
        <v>23</v>
      </c>
      <c r="G16" s="14">
        <v>2435</v>
      </c>
      <c r="H16" s="14">
        <v>182</v>
      </c>
      <c r="I16" s="14">
        <v>39</v>
      </c>
      <c r="J16" t="s" s="13">
        <v>23</v>
      </c>
      <c r="K16" s="10" cm="1">
        <f t="array" ref="K16">(F16+G16)/(F16+G16+H16+I16)</f>
        <v>0.917506532288167</v>
      </c>
      <c r="L16" s="10" cm="1">
        <f t="array" ref="L16">(F16)/(F16+H16)</f>
        <v>0.11219512195122</v>
      </c>
      <c r="M16" s="10" cm="1">
        <f t="array" ref="M16">(F16)/(F16+H16)</f>
        <v>0.11219512195122</v>
      </c>
      <c r="N16" s="10" cm="1">
        <f t="array" ref="N16">(2*F16)/(2*F16+H16+I16)</f>
        <v>0.172284644194757</v>
      </c>
      <c r="O16" s="10" cm="1">
        <f t="array" ref="O16">G16/(G16+I16)</f>
        <v>0.984236054971706</v>
      </c>
      <c r="P16" s="10" cm="1">
        <f t="array" ref="P16">(M16+O16)/2</f>
        <v>0.548215588461463</v>
      </c>
    </row>
    <row r="17" ht="20.05" customHeight="1">
      <c r="A17" t="s" s="11">
        <v>37</v>
      </c>
      <c r="B17" t="s" s="12">
        <v>18</v>
      </c>
      <c r="C17" t="s" s="13">
        <v>19</v>
      </c>
      <c r="D17" s="14">
        <v>744</v>
      </c>
      <c r="E17" s="14">
        <v>186</v>
      </c>
      <c r="F17" s="14">
        <v>154</v>
      </c>
      <c r="G17" s="14">
        <v>552</v>
      </c>
      <c r="H17" s="14">
        <v>6</v>
      </c>
      <c r="I17" s="14">
        <v>32</v>
      </c>
      <c r="J17" t="s" s="13">
        <v>38</v>
      </c>
      <c r="K17" s="10" cm="1">
        <f t="array" ref="K17">(F17+G17)/(F17+G17+H17+I17)</f>
        <v>0.948924731182796</v>
      </c>
      <c r="L17" s="10" cm="1">
        <f t="array" ref="L17">(F17)/(F17+H17)</f>
        <v>0.9625</v>
      </c>
      <c r="M17" s="10" cm="1">
        <f t="array" ref="M17">(F17)/(F17+H17)</f>
        <v>0.9625</v>
      </c>
      <c r="N17" s="10" cm="1">
        <f t="array" ref="N17">(2*F17)/(2*F17+H17+I17)</f>
        <v>0.8901734104046241</v>
      </c>
      <c r="O17" s="10" cm="1">
        <f t="array" ref="O17">G17/(G17+I17)</f>
        <v>0.945205479452055</v>
      </c>
      <c r="P17" s="10" cm="1">
        <f t="array" ref="P17">(M17+O17)/2</f>
        <v>0.953852739726028</v>
      </c>
    </row>
    <row r="18" ht="20.05" customHeight="1">
      <c r="A18" t="s" s="11">
        <v>37</v>
      </c>
      <c r="B18" t="s" s="12">
        <v>21</v>
      </c>
      <c r="C18" t="s" s="13">
        <v>22</v>
      </c>
      <c r="D18" s="14">
        <v>744</v>
      </c>
      <c r="E18" s="14">
        <v>186</v>
      </c>
      <c r="F18" s="14">
        <v>36</v>
      </c>
      <c r="G18" s="14">
        <v>2351</v>
      </c>
      <c r="H18" s="14">
        <v>266</v>
      </c>
      <c r="I18" s="14">
        <v>26</v>
      </c>
      <c r="J18" t="s" s="13">
        <v>39</v>
      </c>
      <c r="K18" s="10" cm="1">
        <f t="array" ref="K18">(F18+G18)/(F18+G18+H18+I18)</f>
        <v>0.891004106009705</v>
      </c>
      <c r="L18" s="10" cm="1">
        <f t="array" ref="L18">(F18)/(F18+H18)</f>
        <v>0.119205298013245</v>
      </c>
      <c r="M18" s="10" cm="1">
        <f t="array" ref="M18">(F18)/(F18+H18)</f>
        <v>0.119205298013245</v>
      </c>
      <c r="N18" s="10" cm="1">
        <f t="array" ref="N18">(2*F18)/(2*F18+H18+I18)</f>
        <v>0.197802197802198</v>
      </c>
      <c r="O18" s="10" cm="1">
        <f t="array" ref="O18">G18/(G18+I18)</f>
        <v>0.989061842658814</v>
      </c>
      <c r="P18" s="10" cm="1">
        <f t="array" ref="P18">(M18+O18)/2</f>
        <v>0.5541335703360299</v>
      </c>
    </row>
    <row r="19" ht="20.05" customHeight="1">
      <c r="A19" t="s" s="11">
        <v>17</v>
      </c>
      <c r="B19" t="s" s="12">
        <v>18</v>
      </c>
      <c r="C19" t="s" s="13">
        <v>19</v>
      </c>
      <c r="D19" s="14">
        <v>744</v>
      </c>
      <c r="E19" s="14">
        <v>186</v>
      </c>
      <c r="F19" s="14">
        <v>72</v>
      </c>
      <c r="G19" s="14">
        <v>521</v>
      </c>
      <c r="H19" s="14">
        <v>37</v>
      </c>
      <c r="I19" s="14">
        <v>114</v>
      </c>
      <c r="J19" t="s" s="13">
        <v>20</v>
      </c>
      <c r="K19" s="10" cm="1">
        <f t="array" ref="K19">(F19+G19)/(F19+G19+H19+I19)</f>
        <v>0.797043010752688</v>
      </c>
      <c r="L19" s="10" cm="1">
        <f t="array" ref="L19">(F19)/(F19+H19)</f>
        <v>0.660550458715596</v>
      </c>
      <c r="M19" s="10" cm="1">
        <f t="array" ref="M19">(F19)/(F19+H19)</f>
        <v>0.660550458715596</v>
      </c>
      <c r="N19" s="10" cm="1">
        <f t="array" ref="N19">(2*F19)/(2*F19+H19+I19)</f>
        <v>0.488135593220339</v>
      </c>
      <c r="O19" s="10" cm="1">
        <f t="array" ref="O19">G19/(G19+I19)</f>
        <v>0.820472440944882</v>
      </c>
      <c r="P19" s="10" cm="1">
        <f t="array" ref="P19">(M19+O19)/2</f>
        <v>0.740511449830239</v>
      </c>
    </row>
    <row r="20" ht="20.05" customHeight="1">
      <c r="A20" t="s" s="11">
        <v>17</v>
      </c>
      <c r="B20" t="s" s="12">
        <v>21</v>
      </c>
      <c r="C20" t="s" s="13">
        <v>22</v>
      </c>
      <c r="D20" s="14">
        <v>744</v>
      </c>
      <c r="E20" s="14">
        <v>186</v>
      </c>
      <c r="F20" s="14">
        <v>24</v>
      </c>
      <c r="G20" s="14">
        <v>2450</v>
      </c>
      <c r="H20" s="14">
        <v>167</v>
      </c>
      <c r="I20" s="14">
        <v>38</v>
      </c>
      <c r="J20" t="s" s="13">
        <v>20</v>
      </c>
      <c r="K20" s="10" cm="1">
        <f t="array" ref="K20">(F20+G20)/(F20+G20+H20+I20)</f>
        <v>0.92347891004106</v>
      </c>
      <c r="L20" s="10" cm="1">
        <f t="array" ref="L20">(F20)/(F20+H20)</f>
        <v>0.12565445026178</v>
      </c>
      <c r="M20" s="10" cm="1">
        <f t="array" ref="M20">(F20)/(F20+H20)</f>
        <v>0.12565445026178</v>
      </c>
      <c r="N20" s="10" cm="1">
        <f t="array" ref="N20">(2*F20)/(2*F20+H20+I20)</f>
        <v>0.189723320158103</v>
      </c>
      <c r="O20" s="10" cm="1">
        <f t="array" ref="O20">G20/(G20+I20)</f>
        <v>0.984726688102894</v>
      </c>
      <c r="P20" s="10" cm="1">
        <f t="array" ref="P20">(M20+O20)/2</f>
        <v>0.555190569182337</v>
      </c>
    </row>
    <row r="21" ht="20.05" customHeight="1">
      <c r="A21" t="s" s="11">
        <v>24</v>
      </c>
      <c r="B21" t="s" s="12">
        <v>18</v>
      </c>
      <c r="C21" t="s" s="13">
        <v>19</v>
      </c>
      <c r="D21" s="14">
        <v>744</v>
      </c>
      <c r="E21" s="14">
        <v>186</v>
      </c>
      <c r="F21" s="14">
        <v>60</v>
      </c>
      <c r="G21" s="14">
        <v>528</v>
      </c>
      <c r="H21" s="14">
        <v>30</v>
      </c>
      <c r="I21" s="14">
        <v>126</v>
      </c>
      <c r="J21" t="s" s="13">
        <v>20</v>
      </c>
      <c r="K21" s="10" cm="1">
        <f t="array" ref="K21">(F21+G21)/(F21+G21+H21+I21)</f>
        <v>0.790322580645161</v>
      </c>
      <c r="L21" s="10" cm="1">
        <f t="array" ref="L21">(F21)/(F21+H21)</f>
        <v>0.666666666666667</v>
      </c>
      <c r="M21" s="10" cm="1">
        <f t="array" ref="M21">(F21)/(F21+H21)</f>
        <v>0.666666666666667</v>
      </c>
      <c r="N21" s="10" cm="1">
        <f t="array" ref="N21">(2*F21)/(2*F21+H21+I21)</f>
        <v>0.434782608695652</v>
      </c>
      <c r="O21" s="10" cm="1">
        <f t="array" ref="O21">G21/(G21+I21)</f>
        <v>0.807339449541284</v>
      </c>
      <c r="P21" s="10" cm="1">
        <f t="array" ref="P21">(M21+O21)/2</f>
        <v>0.737003058103976</v>
      </c>
    </row>
    <row r="22" ht="20.05" customHeight="1">
      <c r="A22" t="s" s="11">
        <v>24</v>
      </c>
      <c r="B22" t="s" s="12">
        <v>21</v>
      </c>
      <c r="C22" t="s" s="13">
        <v>22</v>
      </c>
      <c r="D22" s="14">
        <v>744</v>
      </c>
      <c r="E22" s="14">
        <v>186</v>
      </c>
      <c r="F22" s="14">
        <v>21</v>
      </c>
      <c r="G22" s="14">
        <v>2480</v>
      </c>
      <c r="H22" s="14">
        <v>137</v>
      </c>
      <c r="I22" s="14">
        <v>41</v>
      </c>
      <c r="J22" t="s" s="13">
        <v>20</v>
      </c>
      <c r="K22" s="10" cm="1">
        <f t="array" ref="K22">(F22+G22)/(F22+G22+H22+I22)</f>
        <v>0.933557297499067</v>
      </c>
      <c r="L22" s="10" cm="1">
        <f t="array" ref="L22">(F22)/(F22+H22)</f>
        <v>0.132911392405063</v>
      </c>
      <c r="M22" s="10" cm="1">
        <f t="array" ref="M22">(F22)/(F22+H22)</f>
        <v>0.132911392405063</v>
      </c>
      <c r="N22" s="10" cm="1">
        <f t="array" ref="N22">(2*F22)/(2*F22+H22+I22)</f>
        <v>0.190909090909091</v>
      </c>
      <c r="O22" s="10" cm="1">
        <f t="array" ref="O22">G22/(G22+I22)</f>
        <v>0.983736612455375</v>
      </c>
      <c r="P22" s="10" cm="1">
        <f t="array" ref="P22">(M22+O22)/2</f>
        <v>0.558324002430219</v>
      </c>
    </row>
    <row r="23" ht="20.05" customHeight="1">
      <c r="A23" t="s" s="11">
        <v>25</v>
      </c>
      <c r="B23" t="s" s="12">
        <v>18</v>
      </c>
      <c r="C23" t="s" s="13">
        <v>19</v>
      </c>
      <c r="D23" s="14">
        <v>744</v>
      </c>
      <c r="E23" s="14">
        <v>186</v>
      </c>
      <c r="F23" s="14">
        <v>186</v>
      </c>
      <c r="G23" s="14">
        <v>558</v>
      </c>
      <c r="H23" s="14">
        <v>0</v>
      </c>
      <c r="I23" s="14">
        <v>0</v>
      </c>
      <c r="J23" t="s" s="13">
        <v>26</v>
      </c>
      <c r="K23" s="10" cm="1">
        <f t="array" ref="K23">(F23+G23)/(F23+G23+H23+I23)</f>
        <v>1</v>
      </c>
      <c r="L23" s="10" cm="1">
        <f t="array" ref="L23">(F23)/(F23+H23)</f>
        <v>1</v>
      </c>
      <c r="M23" s="10" cm="1">
        <f t="array" ref="M23">(F23)/(F23+H23)</f>
        <v>1</v>
      </c>
      <c r="N23" s="10" cm="1">
        <f t="array" ref="N23">(2*F23)/(2*F23+H23+I23)</f>
        <v>1</v>
      </c>
      <c r="O23" s="10" cm="1">
        <f t="array" ref="O23">G23/(G23+I23)</f>
        <v>1</v>
      </c>
      <c r="P23" s="10" cm="1">
        <f t="array" ref="P23">(M23+O23)/2</f>
        <v>1</v>
      </c>
    </row>
    <row r="24" ht="20.05" customHeight="1">
      <c r="A24" t="s" s="11">
        <v>25</v>
      </c>
      <c r="B24" t="s" s="12">
        <v>21</v>
      </c>
      <c r="C24" t="s" s="13">
        <v>22</v>
      </c>
      <c r="D24" s="14">
        <v>744</v>
      </c>
      <c r="E24" s="14">
        <v>186</v>
      </c>
      <c r="F24" s="14">
        <v>25</v>
      </c>
      <c r="G24" s="14">
        <v>2124</v>
      </c>
      <c r="H24" s="14">
        <v>493</v>
      </c>
      <c r="I24" s="14">
        <v>37</v>
      </c>
      <c r="J24" t="s" s="13">
        <v>40</v>
      </c>
      <c r="K24" s="10" cm="1">
        <f t="array" ref="K24">(F24+G24)/(F24+G24+H24+I24)</f>
        <v>0.802164986935424</v>
      </c>
      <c r="L24" s="10" cm="1">
        <f t="array" ref="L24">(F24)/(F24+H24)</f>
        <v>0.0482625482625483</v>
      </c>
      <c r="M24" s="10" cm="1">
        <f t="array" ref="M24">(F24)/(F24+H24)</f>
        <v>0.0482625482625483</v>
      </c>
      <c r="N24" s="10" cm="1">
        <f t="array" ref="N24">(2*F24)/(2*F24+H24+I24)</f>
        <v>0.0862068965517241</v>
      </c>
      <c r="O24" s="10" cm="1">
        <f t="array" ref="O24">G24/(G24+I24)</f>
        <v>0.982878297084683</v>
      </c>
      <c r="P24" s="10" cm="1">
        <f t="array" ref="P24">(M24+O24)/2</f>
        <v>0.515570422673616</v>
      </c>
    </row>
    <row r="25" ht="20.05" customHeight="1">
      <c r="A25" t="s" s="11">
        <v>28</v>
      </c>
      <c r="B25" t="s" s="12">
        <v>18</v>
      </c>
      <c r="C25" t="s" s="13">
        <v>19</v>
      </c>
      <c r="D25" s="14">
        <v>744</v>
      </c>
      <c r="E25" s="14">
        <v>186</v>
      </c>
      <c r="F25" s="14">
        <v>186</v>
      </c>
      <c r="G25" s="14">
        <v>558</v>
      </c>
      <c r="H25" s="14">
        <v>0</v>
      </c>
      <c r="I25" s="14">
        <v>0</v>
      </c>
      <c r="J25" t="s" s="13">
        <v>26</v>
      </c>
      <c r="K25" s="10" cm="1">
        <f t="array" ref="K25">(F25+G25)/(F25+G25+H25+I25)</f>
        <v>1</v>
      </c>
      <c r="L25" s="10" cm="1">
        <f t="array" ref="L25">(F25)/(F25+H25)</f>
        <v>1</v>
      </c>
      <c r="M25" s="10" cm="1">
        <f t="array" ref="M25">(F25)/(F25+H25)</f>
        <v>1</v>
      </c>
      <c r="N25" s="10" cm="1">
        <f t="array" ref="N25">(2*F25)/(2*F25+H25+I25)</f>
        <v>1</v>
      </c>
      <c r="O25" s="10" cm="1">
        <f t="array" ref="O25">G25/(G25+I25)</f>
        <v>1</v>
      </c>
      <c r="P25" s="10" cm="1">
        <f t="array" ref="P25">(M25+O25)/2</f>
        <v>1</v>
      </c>
    </row>
    <row r="26" ht="20.05" customHeight="1">
      <c r="A26" t="s" s="11">
        <v>28</v>
      </c>
      <c r="B26" t="s" s="12">
        <v>21</v>
      </c>
      <c r="C26" t="s" s="13">
        <v>22</v>
      </c>
      <c r="D26" s="14">
        <v>744</v>
      </c>
      <c r="E26" s="14">
        <v>186</v>
      </c>
      <c r="F26" s="14">
        <v>27</v>
      </c>
      <c r="G26" s="14">
        <v>2439</v>
      </c>
      <c r="H26" s="14">
        <v>178</v>
      </c>
      <c r="I26" s="14">
        <v>35</v>
      </c>
      <c r="J26" t="s" s="13">
        <v>34</v>
      </c>
      <c r="K26" s="10" cm="1">
        <f t="array" ref="K26">(F26+G26)/(F26+G26+H26+I26)</f>
        <v>0.920492721164614</v>
      </c>
      <c r="L26" s="10" cm="1">
        <f t="array" ref="L26">(F26)/(F26+H26)</f>
        <v>0.131707317073171</v>
      </c>
      <c r="M26" s="10" cm="1">
        <f t="array" ref="M26">(F26)/(F26+H26)</f>
        <v>0.131707317073171</v>
      </c>
      <c r="N26" s="10" cm="1">
        <f t="array" ref="N26">(2*F26)/(2*F26+H26+I26)</f>
        <v>0.202247191011236</v>
      </c>
      <c r="O26" s="10" cm="1">
        <f t="array" ref="O26">G26/(G26+I26)</f>
        <v>0.985852869846403</v>
      </c>
      <c r="P26" s="10" cm="1">
        <f t="array" ref="P26">(M26+O26)/2</f>
        <v>0.558780093459787</v>
      </c>
    </row>
    <row r="27" ht="20.05" customHeight="1">
      <c r="A27" t="s" s="11">
        <v>30</v>
      </c>
      <c r="B27" t="s" s="12">
        <v>18</v>
      </c>
      <c r="C27" t="s" s="13">
        <v>19</v>
      </c>
      <c r="D27" s="14">
        <v>744</v>
      </c>
      <c r="E27" s="14">
        <v>186</v>
      </c>
      <c r="F27" s="14">
        <v>114</v>
      </c>
      <c r="G27" s="14">
        <v>510</v>
      </c>
      <c r="H27" s="14">
        <v>48</v>
      </c>
      <c r="I27" s="14">
        <v>72</v>
      </c>
      <c r="J27" t="s" s="13">
        <v>41</v>
      </c>
      <c r="K27" s="10" cm="1">
        <f t="array" ref="K27">(F27+G27)/(F27+G27+H27+I27)</f>
        <v>0.838709677419355</v>
      </c>
      <c r="L27" s="10" cm="1">
        <f t="array" ref="L27">(F27)/(F27+H27)</f>
        <v>0.7037037037037041</v>
      </c>
      <c r="M27" s="10" cm="1">
        <f t="array" ref="M27">(F27)/(F27+H27)</f>
        <v>0.7037037037037041</v>
      </c>
      <c r="N27" s="10" cm="1">
        <f t="array" ref="N27">(2*F27)/(2*F27+H27+I27)</f>
        <v>0.655172413793103</v>
      </c>
      <c r="O27" s="10" cm="1">
        <f t="array" ref="O27">G27/(G27+I27)</f>
        <v>0.876288659793814</v>
      </c>
      <c r="P27" s="10" cm="1">
        <f t="array" ref="P27">(M27+O27)/2</f>
        <v>0.789996181748759</v>
      </c>
    </row>
    <row r="28" ht="20.05" customHeight="1">
      <c r="A28" t="s" s="11">
        <v>30</v>
      </c>
      <c r="B28" t="s" s="12">
        <v>21</v>
      </c>
      <c r="C28" t="s" s="13">
        <v>22</v>
      </c>
      <c r="D28" s="14">
        <v>744</v>
      </c>
      <c r="E28" s="14">
        <v>186</v>
      </c>
      <c r="F28" s="14">
        <v>28</v>
      </c>
      <c r="G28" s="14">
        <v>2371</v>
      </c>
      <c r="H28" s="14">
        <v>246</v>
      </c>
      <c r="I28" s="14">
        <v>34</v>
      </c>
      <c r="J28" t="s" s="13">
        <v>42</v>
      </c>
      <c r="K28" s="10" cm="1">
        <f t="array" ref="K28">(F28+G28)/(F28+G28+H28+I28)</f>
        <v>0.895483389324375</v>
      </c>
      <c r="L28" s="10" cm="1">
        <f t="array" ref="L28">(F28)/(F28+H28)</f>
        <v>0.102189781021898</v>
      </c>
      <c r="M28" s="10" cm="1">
        <f t="array" ref="M28">(F28)/(F28+H28)</f>
        <v>0.102189781021898</v>
      </c>
      <c r="N28" s="10" cm="1">
        <f t="array" ref="N28">(2*F28)/(2*F28+H28+I28)</f>
        <v>0.166666666666667</v>
      </c>
      <c r="O28" s="10" cm="1">
        <f t="array" ref="O28">G28/(G28+I28)</f>
        <v>0.985862785862786</v>
      </c>
      <c r="P28" s="10" cm="1">
        <f t="array" ref="P28">(M28+O28)/2</f>
        <v>0.5440262834423421</v>
      </c>
    </row>
    <row r="29" ht="20.05" customHeight="1">
      <c r="A29" t="s" s="11">
        <v>33</v>
      </c>
      <c r="B29" t="s" s="12">
        <v>18</v>
      </c>
      <c r="C29" t="s" s="13">
        <v>19</v>
      </c>
      <c r="D29" s="14">
        <v>744</v>
      </c>
      <c r="E29" s="14">
        <v>186</v>
      </c>
      <c r="F29" s="14">
        <v>96</v>
      </c>
      <c r="G29" s="14">
        <v>487</v>
      </c>
      <c r="H29" s="14">
        <v>71</v>
      </c>
      <c r="I29" s="14">
        <v>90</v>
      </c>
      <c r="J29" t="s" s="13">
        <v>32</v>
      </c>
      <c r="K29" s="10" cm="1">
        <f t="array" ref="K29">(F29+G29)/(F29+G29+H29+I29)</f>
        <v>0.783602150537634</v>
      </c>
      <c r="L29" s="10" cm="1">
        <f t="array" ref="L29">(F29)/(F29+H29)</f>
        <v>0.574850299401198</v>
      </c>
      <c r="M29" s="10" cm="1">
        <f t="array" ref="M29">(F29)/(F29+H29)</f>
        <v>0.574850299401198</v>
      </c>
      <c r="N29" s="10" cm="1">
        <f t="array" ref="N29">(2*F29)/(2*F29+H29+I29)</f>
        <v>0.543909348441926</v>
      </c>
      <c r="O29" s="10" cm="1">
        <f t="array" ref="O29">G29/(G29+I29)</f>
        <v>0.844020797227036</v>
      </c>
      <c r="P29" s="10" cm="1">
        <f t="array" ref="P29">(M29+O29)/2</f>
        <v>0.709435548314117</v>
      </c>
    </row>
    <row r="30" ht="20.05" customHeight="1">
      <c r="A30" t="s" s="11">
        <v>33</v>
      </c>
      <c r="B30" t="s" s="12">
        <v>21</v>
      </c>
      <c r="C30" t="s" s="13">
        <v>22</v>
      </c>
      <c r="D30" s="14">
        <v>744</v>
      </c>
      <c r="E30" s="14">
        <v>186</v>
      </c>
      <c r="F30" s="14">
        <v>29</v>
      </c>
      <c r="G30" s="14">
        <v>2326</v>
      </c>
      <c r="H30" s="14">
        <v>291</v>
      </c>
      <c r="I30" s="14">
        <v>33</v>
      </c>
      <c r="J30" t="s" s="13">
        <v>32</v>
      </c>
      <c r="K30" s="10" cm="1">
        <f t="array" ref="K30">(F30+G30)/(F30+G30+H30+I30)</f>
        <v>0.879059350503919</v>
      </c>
      <c r="L30" s="10" cm="1">
        <f t="array" ref="L30">(F30)/(F30+H30)</f>
        <v>0.090625</v>
      </c>
      <c r="M30" s="10" cm="1">
        <f t="array" ref="M30">(F30)/(F30+H30)</f>
        <v>0.090625</v>
      </c>
      <c r="N30" s="10" cm="1">
        <f t="array" ref="N30">(2*F30)/(2*F30+H30+I30)</f>
        <v>0.151832460732984</v>
      </c>
      <c r="O30" s="10" cm="1">
        <f t="array" ref="O30">G30/(G30+I30)</f>
        <v>0.98601102161933</v>
      </c>
      <c r="P30" s="10" cm="1">
        <f t="array" ref="P30">(M30+O30)/2</f>
        <v>0.538318010809665</v>
      </c>
    </row>
    <row r="31" ht="20.05" customHeight="1">
      <c r="A31" t="s" s="11">
        <v>35</v>
      </c>
      <c r="B31" t="s" s="12">
        <v>18</v>
      </c>
      <c r="C31" t="s" s="13">
        <v>19</v>
      </c>
      <c r="D31" s="14">
        <v>744</v>
      </c>
      <c r="E31" s="14">
        <v>186</v>
      </c>
      <c r="F31" s="14">
        <v>83</v>
      </c>
      <c r="G31" s="14">
        <v>533</v>
      </c>
      <c r="H31" s="14">
        <v>25</v>
      </c>
      <c r="I31" s="14">
        <v>103</v>
      </c>
      <c r="J31" t="s" s="13">
        <v>36</v>
      </c>
      <c r="K31" s="10" cm="1">
        <f t="array" ref="K31">(F31+G31)/(F31+G31+H31+I31)</f>
        <v>0.827956989247312</v>
      </c>
      <c r="L31" s="10" cm="1">
        <f t="array" ref="L31">(F31)/(F31+H31)</f>
        <v>0.768518518518519</v>
      </c>
      <c r="M31" s="10" cm="1">
        <f t="array" ref="M31">(F31)/(F31+H31)</f>
        <v>0.768518518518519</v>
      </c>
      <c r="N31" s="10" cm="1">
        <f t="array" ref="N31">(2*F31)/(2*F31+H31+I31)</f>
        <v>0.564625850340136</v>
      </c>
      <c r="O31" s="10" cm="1">
        <f t="array" ref="O31">G31/(G31+I31)</f>
        <v>0.838050314465409</v>
      </c>
      <c r="P31" s="10" cm="1">
        <f t="array" ref="P31">(M31+O31)/2</f>
        <v>0.803284416491964</v>
      </c>
    </row>
    <row r="32" ht="20.05" customHeight="1">
      <c r="A32" t="s" s="11">
        <v>35</v>
      </c>
      <c r="B32" t="s" s="12">
        <v>21</v>
      </c>
      <c r="C32" t="s" s="13">
        <v>22</v>
      </c>
      <c r="D32" s="14">
        <v>744</v>
      </c>
      <c r="E32" s="14">
        <v>186</v>
      </c>
      <c r="F32" s="14">
        <v>22</v>
      </c>
      <c r="G32" s="14">
        <v>2484</v>
      </c>
      <c r="H32" s="14">
        <v>133</v>
      </c>
      <c r="I32" s="14">
        <v>40</v>
      </c>
      <c r="J32" t="s" s="13">
        <v>20</v>
      </c>
      <c r="K32" s="10" cm="1">
        <f t="array" ref="K32">(F32+G32)/(F32+G32+H32+I32)</f>
        <v>0.935423665546846</v>
      </c>
      <c r="L32" s="10" cm="1">
        <f t="array" ref="L32">(F32)/(F32+H32)</f>
        <v>0.141935483870968</v>
      </c>
      <c r="M32" s="10" cm="1">
        <f t="array" ref="M32">(F32)/(F32+H32)</f>
        <v>0.141935483870968</v>
      </c>
      <c r="N32" s="10" cm="1">
        <f t="array" ref="N32">(2*F32)/(2*F32+H32+I32)</f>
        <v>0.202764976958525</v>
      </c>
      <c r="O32" s="10" cm="1">
        <f t="array" ref="O32">G32/(G32+I32)</f>
        <v>0.984152139461173</v>
      </c>
      <c r="P32" s="10" cm="1">
        <f t="array" ref="P32">(M32+O32)/2</f>
        <v>0.563043811666071</v>
      </c>
    </row>
    <row r="33" ht="20.05" customHeight="1">
      <c r="A33" t="s" s="11">
        <v>37</v>
      </c>
      <c r="B33" t="s" s="12">
        <v>18</v>
      </c>
      <c r="C33" t="s" s="13">
        <v>19</v>
      </c>
      <c r="D33" s="14">
        <v>744</v>
      </c>
      <c r="E33" s="14">
        <v>186</v>
      </c>
      <c r="F33" s="14">
        <v>160</v>
      </c>
      <c r="G33" s="14">
        <v>550</v>
      </c>
      <c r="H33" s="14">
        <v>8</v>
      </c>
      <c r="I33" s="14">
        <v>26</v>
      </c>
      <c r="J33" t="s" s="13">
        <v>38</v>
      </c>
      <c r="K33" s="10" cm="1">
        <f t="array" ref="K33">(F33+G33)/(F33+G33+H33+I33)</f>
        <v>0.954301075268817</v>
      </c>
      <c r="L33" s="10" cm="1">
        <f t="array" ref="L33">(F33)/(F33+H33)</f>
        <v>0.952380952380952</v>
      </c>
      <c r="M33" s="10" cm="1">
        <f t="array" ref="M33">(F33)/(F33+H33)</f>
        <v>0.952380952380952</v>
      </c>
      <c r="N33" s="10" cm="1">
        <f t="array" ref="N33">(2*F33)/(2*F33+H33+I33)</f>
        <v>0.903954802259887</v>
      </c>
      <c r="O33" s="10" cm="1">
        <f t="array" ref="O33">G33/(G33+I33)</f>
        <v>0.954861111111111</v>
      </c>
      <c r="P33" s="10" cm="1">
        <f t="array" ref="P33">(M33+O33)/2</f>
        <v>0.953621031746032</v>
      </c>
    </row>
    <row r="34" ht="20.05" customHeight="1">
      <c r="A34" t="s" s="11">
        <v>37</v>
      </c>
      <c r="B34" t="s" s="12">
        <v>21</v>
      </c>
      <c r="C34" t="s" s="13">
        <v>22</v>
      </c>
      <c r="D34" s="14">
        <v>744</v>
      </c>
      <c r="E34" s="14">
        <v>186</v>
      </c>
      <c r="F34" s="14">
        <v>23</v>
      </c>
      <c r="G34" s="14">
        <v>2413</v>
      </c>
      <c r="H34" s="14">
        <v>204</v>
      </c>
      <c r="I34" s="14">
        <v>39</v>
      </c>
      <c r="J34" t="s" s="13">
        <v>32</v>
      </c>
      <c r="K34" s="10" cm="1">
        <f t="array" ref="K34">(F34+G34)/(F34+G34+H34+I34)</f>
        <v>0.9092945128779401</v>
      </c>
      <c r="L34" s="10" cm="1">
        <f t="array" ref="L34">(F34)/(F34+H34)</f>
        <v>0.101321585903084</v>
      </c>
      <c r="M34" s="10" cm="1">
        <f t="array" ref="M34">(F34)/(F34+H34)</f>
        <v>0.101321585903084</v>
      </c>
      <c r="N34" s="10" cm="1">
        <f t="array" ref="N34">(2*F34)/(2*F34+H34+I34)</f>
        <v>0.15916955017301</v>
      </c>
      <c r="O34" s="10" cm="1">
        <f t="array" ref="O34">G34/(G34+I34)</f>
        <v>0.9840946166394779</v>
      </c>
      <c r="P34" s="10" cm="1">
        <f t="array" ref="P34">(M34+O34)/2</f>
        <v>0.542708101271281</v>
      </c>
    </row>
    <row r="35" ht="20.05" customHeight="1">
      <c r="A35" t="s" s="11">
        <v>17</v>
      </c>
      <c r="B35" t="s" s="12">
        <v>18</v>
      </c>
      <c r="C35" t="s" s="13">
        <v>19</v>
      </c>
      <c r="D35" s="14">
        <v>744</v>
      </c>
      <c r="E35" s="14">
        <v>186</v>
      </c>
      <c r="F35" s="14">
        <v>83</v>
      </c>
      <c r="G35" s="14">
        <v>515</v>
      </c>
      <c r="H35" s="14">
        <v>43</v>
      </c>
      <c r="I35" s="14">
        <v>103</v>
      </c>
      <c r="J35" t="s" s="13">
        <v>39</v>
      </c>
      <c r="K35" s="10" cm="1">
        <f t="array" ref="K35">(F35+G35)/(F35+G35+H35+I35)</f>
        <v>0.803763440860215</v>
      </c>
      <c r="L35" s="10" cm="1">
        <f t="array" ref="L35">(F35)/(F35+H35)</f>
        <v>0.6587301587301591</v>
      </c>
      <c r="M35" s="10" cm="1">
        <f t="array" ref="M35">(F35)/(F35+H35)</f>
        <v>0.6587301587301591</v>
      </c>
      <c r="N35" s="10" cm="1">
        <f t="array" ref="N35">(2*F35)/(2*F35+H35+I35)</f>
        <v>0.532051282051282</v>
      </c>
      <c r="O35" s="10" cm="1">
        <f t="array" ref="O35">G35/(G35+I35)</f>
        <v>0.833333333333333</v>
      </c>
      <c r="P35" s="10" cm="1">
        <f t="array" ref="P35">(M35+O35)/2</f>
        <v>0.746031746031746</v>
      </c>
    </row>
    <row r="36" ht="20.05" customHeight="1">
      <c r="A36" t="s" s="11">
        <v>17</v>
      </c>
      <c r="B36" t="s" s="12">
        <v>21</v>
      </c>
      <c r="C36" t="s" s="13">
        <v>22</v>
      </c>
      <c r="D36" s="14">
        <v>744</v>
      </c>
      <c r="E36" s="14">
        <v>186</v>
      </c>
      <c r="F36" s="14">
        <v>25</v>
      </c>
      <c r="G36" s="14">
        <v>2409</v>
      </c>
      <c r="H36" s="14">
        <v>208</v>
      </c>
      <c r="I36" s="14">
        <v>37</v>
      </c>
      <c r="J36" t="s" s="13">
        <v>43</v>
      </c>
      <c r="K36" s="10" cm="1">
        <f t="array" ref="K36">(F36+G36)/(F36+G36+H36+I36)</f>
        <v>0.908547965658828</v>
      </c>
      <c r="L36" s="10" cm="1">
        <f t="array" ref="L36">(F36)/(F36+H36)</f>
        <v>0.107296137339056</v>
      </c>
      <c r="M36" s="10" cm="1">
        <f t="array" ref="M36">(F36)/(F36+H36)</f>
        <v>0.107296137339056</v>
      </c>
      <c r="N36" s="10" cm="1">
        <f t="array" ref="N36">(2*F36)/(2*F36+H36+I36)</f>
        <v>0.169491525423729</v>
      </c>
      <c r="O36" s="10" cm="1">
        <f t="array" ref="O36">G36/(G36+I36)</f>
        <v>0.984873262469338</v>
      </c>
      <c r="P36" s="10" cm="1">
        <f t="array" ref="P36">(M36+O36)/2</f>
        <v>0.5460846999041969</v>
      </c>
    </row>
    <row r="37" ht="20.05" customHeight="1">
      <c r="A37" t="s" s="11">
        <v>24</v>
      </c>
      <c r="B37" t="s" s="12">
        <v>18</v>
      </c>
      <c r="C37" t="s" s="13">
        <v>19</v>
      </c>
      <c r="D37" s="14">
        <v>744</v>
      </c>
      <c r="E37" s="14">
        <v>186</v>
      </c>
      <c r="F37" s="14">
        <v>70</v>
      </c>
      <c r="G37" s="14">
        <v>524</v>
      </c>
      <c r="H37" s="14">
        <v>34</v>
      </c>
      <c r="I37" s="14">
        <v>116</v>
      </c>
      <c r="J37" t="s" s="13">
        <v>39</v>
      </c>
      <c r="K37" s="10" cm="1">
        <f t="array" ref="K37">(F37+G37)/(F37+G37+H37+I37)</f>
        <v>0.7983870967741939</v>
      </c>
      <c r="L37" s="10" cm="1">
        <f t="array" ref="L37">(F37)/(F37+H37)</f>
        <v>0.673076923076923</v>
      </c>
      <c r="M37" s="10" cm="1">
        <f t="array" ref="M37">(F37)/(F37+H37)</f>
        <v>0.673076923076923</v>
      </c>
      <c r="N37" s="10" cm="1">
        <f t="array" ref="N37">(2*F37)/(2*F37+H37+I37)</f>
        <v>0.482758620689655</v>
      </c>
      <c r="O37" s="10" cm="1">
        <f t="array" ref="O37">G37/(G37+I37)</f>
        <v>0.81875</v>
      </c>
      <c r="P37" s="10" cm="1">
        <f t="array" ref="P37">(M37+O37)/2</f>
        <v>0.7459134615384621</v>
      </c>
    </row>
    <row r="38" ht="20.05" customHeight="1">
      <c r="A38" t="s" s="11">
        <v>24</v>
      </c>
      <c r="B38" t="s" s="12">
        <v>21</v>
      </c>
      <c r="C38" t="s" s="13">
        <v>22</v>
      </c>
      <c r="D38" s="14">
        <v>744</v>
      </c>
      <c r="E38" s="14">
        <v>186</v>
      </c>
      <c r="F38" s="14">
        <v>20</v>
      </c>
      <c r="G38" s="14">
        <v>2449</v>
      </c>
      <c r="H38" s="14">
        <v>168</v>
      </c>
      <c r="I38" s="14">
        <v>42</v>
      </c>
      <c r="J38" t="s" s="13">
        <v>43</v>
      </c>
      <c r="K38" s="10" cm="1">
        <f t="array" ref="K38">(F38+G38)/(F38+G38+H38+I38)</f>
        <v>0.921612541993281</v>
      </c>
      <c r="L38" s="10" cm="1">
        <f t="array" ref="L38">(F38)/(F38+H38)</f>
        <v>0.106382978723404</v>
      </c>
      <c r="M38" s="10" cm="1">
        <f t="array" ref="M38">(F38)/(F38+H38)</f>
        <v>0.106382978723404</v>
      </c>
      <c r="N38" s="10" cm="1">
        <f t="array" ref="N38">(2*F38)/(2*F38+H38+I38)</f>
        <v>0.16</v>
      </c>
      <c r="O38" s="10" cm="1">
        <f t="array" ref="O38">G38/(G38+I38)</f>
        <v>0.983139301485347</v>
      </c>
      <c r="P38" s="10" cm="1">
        <f t="array" ref="P38">(M38+O38)/2</f>
        <v>0.544761140104376</v>
      </c>
    </row>
    <row r="39" ht="20.05" customHeight="1">
      <c r="A39" t="s" s="11">
        <v>25</v>
      </c>
      <c r="B39" t="s" s="12">
        <v>18</v>
      </c>
      <c r="C39" t="s" s="13">
        <v>19</v>
      </c>
      <c r="D39" s="14">
        <v>744</v>
      </c>
      <c r="E39" s="14">
        <v>186</v>
      </c>
      <c r="F39" s="14">
        <v>186</v>
      </c>
      <c r="G39" s="14">
        <v>558</v>
      </c>
      <c r="H39" s="14">
        <v>0</v>
      </c>
      <c r="I39" s="14">
        <v>0</v>
      </c>
      <c r="J39" t="s" s="13">
        <v>26</v>
      </c>
      <c r="K39" s="10" cm="1">
        <f t="array" ref="K39">(F39+G39)/(F39+G39+H39+I39)</f>
        <v>1</v>
      </c>
      <c r="L39" s="10" cm="1">
        <f t="array" ref="L39">(F39)/(F39+H39)</f>
        <v>1</v>
      </c>
      <c r="M39" s="10" cm="1">
        <f t="array" ref="M39">(F39)/(F39+H39)</f>
        <v>1</v>
      </c>
      <c r="N39" s="10" cm="1">
        <f t="array" ref="N39">(2*F39)/(2*F39+H39+I39)</f>
        <v>1</v>
      </c>
      <c r="O39" s="10" cm="1">
        <f t="array" ref="O39">G39/(G39+I39)</f>
        <v>1</v>
      </c>
      <c r="P39" s="10" cm="1">
        <f t="array" ref="P39">(M39+O39)/2</f>
        <v>1</v>
      </c>
    </row>
    <row r="40" ht="20.05" customHeight="1">
      <c r="A40" t="s" s="11">
        <v>25</v>
      </c>
      <c r="B40" t="s" s="12">
        <v>21</v>
      </c>
      <c r="C40" t="s" s="13">
        <v>22</v>
      </c>
      <c r="D40" s="14">
        <v>744</v>
      </c>
      <c r="E40" s="14">
        <v>186</v>
      </c>
      <c r="F40" s="14">
        <v>28</v>
      </c>
      <c r="G40" s="14">
        <v>2161</v>
      </c>
      <c r="H40" s="14">
        <v>456</v>
      </c>
      <c r="I40" s="14">
        <v>34</v>
      </c>
      <c r="J40" t="s" s="13">
        <v>44</v>
      </c>
      <c r="K40" s="10" cm="1">
        <f t="array" ref="K40">(F40+G40)/(F40+G40+H40+I40)</f>
        <v>0.817095931317656</v>
      </c>
      <c r="L40" s="10" cm="1">
        <f t="array" ref="L40">(F40)/(F40+H40)</f>
        <v>0.0578512396694215</v>
      </c>
      <c r="M40" s="10" cm="1">
        <f t="array" ref="M40">(F40)/(F40+H40)</f>
        <v>0.0578512396694215</v>
      </c>
      <c r="N40" s="10" cm="1">
        <f t="array" ref="N40">(2*F40)/(2*F40+H40+I40)</f>
        <v>0.102564102564103</v>
      </c>
      <c r="O40" s="10" cm="1">
        <f t="array" ref="O40">G40/(G40+I40)</f>
        <v>0.9845102505694761</v>
      </c>
      <c r="P40" s="10" cm="1">
        <f t="array" ref="P40">(M40+O40)/2</f>
        <v>0.521180745119449</v>
      </c>
    </row>
    <row r="41" ht="20.05" customHeight="1">
      <c r="A41" t="s" s="11">
        <v>28</v>
      </c>
      <c r="B41" t="s" s="12">
        <v>18</v>
      </c>
      <c r="C41" t="s" s="13">
        <v>19</v>
      </c>
      <c r="D41" s="14">
        <v>744</v>
      </c>
      <c r="E41" s="14">
        <v>186</v>
      </c>
      <c r="F41" s="14">
        <v>186</v>
      </c>
      <c r="G41" s="14">
        <v>558</v>
      </c>
      <c r="H41" s="14">
        <v>0</v>
      </c>
      <c r="I41" s="14">
        <v>0</v>
      </c>
      <c r="J41" t="s" s="13">
        <v>26</v>
      </c>
      <c r="K41" s="10" cm="1">
        <f t="array" ref="K41">(F41+G41)/(F41+G41+H41+I41)</f>
        <v>1</v>
      </c>
      <c r="L41" s="10" cm="1">
        <f t="array" ref="L41">(F41)/(F41+H41)</f>
        <v>1</v>
      </c>
      <c r="M41" s="10" cm="1">
        <f t="array" ref="M41">(F41)/(F41+H41)</f>
        <v>1</v>
      </c>
      <c r="N41" s="10" cm="1">
        <f t="array" ref="N41">(2*F41)/(2*F41+H41+I41)</f>
        <v>1</v>
      </c>
      <c r="O41" s="10" cm="1">
        <f t="array" ref="O41">G41/(G41+I41)</f>
        <v>1</v>
      </c>
      <c r="P41" s="10" cm="1">
        <f t="array" ref="P41">(M41+O41)/2</f>
        <v>1</v>
      </c>
    </row>
    <row r="42" ht="20.05" customHeight="1">
      <c r="A42" t="s" s="11">
        <v>28</v>
      </c>
      <c r="B42" t="s" s="12">
        <v>21</v>
      </c>
      <c r="C42" t="s" s="13">
        <v>22</v>
      </c>
      <c r="D42" s="14">
        <v>744</v>
      </c>
      <c r="E42" s="14">
        <v>186</v>
      </c>
      <c r="F42" s="14">
        <v>19</v>
      </c>
      <c r="G42" s="14">
        <v>2411</v>
      </c>
      <c r="H42" s="14">
        <v>206</v>
      </c>
      <c r="I42" s="14">
        <v>43</v>
      </c>
      <c r="J42" t="s" s="13">
        <v>32</v>
      </c>
      <c r="K42" s="10" cm="1">
        <f t="array" ref="K42">(F42+G42)/(F42+G42+H42+I42)</f>
        <v>0.907054871220605</v>
      </c>
      <c r="L42" s="10" cm="1">
        <f t="array" ref="L42">(F42)/(F42+H42)</f>
        <v>0.08444444444444441</v>
      </c>
      <c r="M42" s="10" cm="1">
        <f t="array" ref="M42">(F42)/(F42+H42)</f>
        <v>0.08444444444444441</v>
      </c>
      <c r="N42" s="10" cm="1">
        <f t="array" ref="N42">(2*F42)/(2*F42+H42+I42)</f>
        <v>0.132404181184669</v>
      </c>
      <c r="O42" s="10" cm="1">
        <f t="array" ref="O42">G42/(G42+I42)</f>
        <v>0.9824775876120621</v>
      </c>
      <c r="P42" s="10" cm="1">
        <f t="array" ref="P42">(M42+O42)/2</f>
        <v>0.533461016028253</v>
      </c>
    </row>
    <row r="43" ht="20.05" customHeight="1">
      <c r="A43" t="s" s="11">
        <v>30</v>
      </c>
      <c r="B43" t="s" s="12">
        <v>18</v>
      </c>
      <c r="C43" t="s" s="13">
        <v>19</v>
      </c>
      <c r="D43" s="14">
        <v>744</v>
      </c>
      <c r="E43" s="14">
        <v>186</v>
      </c>
      <c r="F43" s="14">
        <v>112</v>
      </c>
      <c r="G43" s="14">
        <v>517</v>
      </c>
      <c r="H43" s="14">
        <v>41</v>
      </c>
      <c r="I43" s="14">
        <v>74</v>
      </c>
      <c r="J43" t="s" s="13">
        <v>45</v>
      </c>
      <c r="K43" s="10" cm="1">
        <f t="array" ref="K43">(F43+G43)/(F43+G43+H43+I43)</f>
        <v>0.845430107526882</v>
      </c>
      <c r="L43" s="10" cm="1">
        <f t="array" ref="L43">(F43)/(F43+H43)</f>
        <v>0.73202614379085</v>
      </c>
      <c r="M43" s="10" cm="1">
        <f t="array" ref="M43">(F43)/(F43+H43)</f>
        <v>0.73202614379085</v>
      </c>
      <c r="N43" s="10" cm="1">
        <f t="array" ref="N43">(2*F43)/(2*F43+H43+I43)</f>
        <v>0.660766961651917</v>
      </c>
      <c r="O43" s="10" cm="1">
        <f t="array" ref="O43">G43/(G43+I43)</f>
        <v>0.874788494077834</v>
      </c>
      <c r="P43" s="10" cm="1">
        <f t="array" ref="P43">(M43+O43)/2</f>
        <v>0.803407318934342</v>
      </c>
    </row>
    <row r="44" ht="20.05" customHeight="1">
      <c r="A44" t="s" s="11">
        <v>30</v>
      </c>
      <c r="B44" t="s" s="12">
        <v>21</v>
      </c>
      <c r="C44" t="s" s="13">
        <v>22</v>
      </c>
      <c r="D44" s="14">
        <v>744</v>
      </c>
      <c r="E44" s="14">
        <v>186</v>
      </c>
      <c r="F44" s="14">
        <v>24</v>
      </c>
      <c r="G44" s="14">
        <v>2327</v>
      </c>
      <c r="H44" s="14">
        <v>290</v>
      </c>
      <c r="I44" s="14">
        <v>38</v>
      </c>
      <c r="J44" t="s" s="13">
        <v>46</v>
      </c>
      <c r="K44" s="10" cm="1">
        <f t="array" ref="K44">(F44+G44)/(F44+G44+H44+I44)</f>
        <v>0.877566256065696</v>
      </c>
      <c r="L44" s="10" cm="1">
        <f t="array" ref="L44">(F44)/(F44+H44)</f>
        <v>0.0764331210191083</v>
      </c>
      <c r="M44" s="10" cm="1">
        <f t="array" ref="M44">(F44)/(F44+H44)</f>
        <v>0.0764331210191083</v>
      </c>
      <c r="N44" s="10" cm="1">
        <f t="array" ref="N44">(2*F44)/(2*F44+H44+I44)</f>
        <v>0.127659574468085</v>
      </c>
      <c r="O44" s="10" cm="1">
        <f t="array" ref="O44">G44/(G44+I44)</f>
        <v>0.983932346723044</v>
      </c>
      <c r="P44" s="10" cm="1">
        <f t="array" ref="P44">(M44+O44)/2</f>
        <v>0.530182733871076</v>
      </c>
    </row>
    <row r="45" ht="20.05" customHeight="1">
      <c r="A45" t="s" s="11">
        <v>33</v>
      </c>
      <c r="B45" t="s" s="12">
        <v>18</v>
      </c>
      <c r="C45" t="s" s="13">
        <v>19</v>
      </c>
      <c r="D45" s="14">
        <v>744</v>
      </c>
      <c r="E45" s="14">
        <v>186</v>
      </c>
      <c r="F45" s="14">
        <v>100</v>
      </c>
      <c r="G45" s="14">
        <v>488</v>
      </c>
      <c r="H45" s="14">
        <v>70</v>
      </c>
      <c r="I45" s="14">
        <v>86</v>
      </c>
      <c r="J45" t="s" s="13">
        <v>23</v>
      </c>
      <c r="K45" s="10" cm="1">
        <f t="array" ref="K45">(F45+G45)/(F45+G45+H45+I45)</f>
        <v>0.790322580645161</v>
      </c>
      <c r="L45" s="10" cm="1">
        <f t="array" ref="L45">(F45)/(F45+H45)</f>
        <v>0.588235294117647</v>
      </c>
      <c r="M45" s="10" cm="1">
        <f t="array" ref="M45">(F45)/(F45+H45)</f>
        <v>0.588235294117647</v>
      </c>
      <c r="N45" s="10" cm="1">
        <f t="array" ref="N45">(2*F45)/(2*F45+H45+I45)</f>
        <v>0.561797752808989</v>
      </c>
      <c r="O45" s="10" cm="1">
        <f t="array" ref="O45">G45/(G45+I45)</f>
        <v>0.850174216027875</v>
      </c>
      <c r="P45" s="10" cm="1">
        <f t="array" ref="P45">(M45+O45)/2</f>
        <v>0.719204755072761</v>
      </c>
    </row>
    <row r="46" ht="20.05" customHeight="1">
      <c r="A46" t="s" s="11">
        <v>33</v>
      </c>
      <c r="B46" t="s" s="12">
        <v>21</v>
      </c>
      <c r="C46" t="s" s="13">
        <v>22</v>
      </c>
      <c r="D46" s="14">
        <v>744</v>
      </c>
      <c r="E46" s="14">
        <v>186</v>
      </c>
      <c r="F46" s="14">
        <v>28</v>
      </c>
      <c r="G46" s="14">
        <v>2291</v>
      </c>
      <c r="H46" s="14">
        <v>326</v>
      </c>
      <c r="I46" s="14">
        <v>34</v>
      </c>
      <c r="J46" t="s" s="13">
        <v>46</v>
      </c>
      <c r="K46" s="10" cm="1">
        <f t="array" ref="K46">(F46+G46)/(F46+G46+H46+I46)</f>
        <v>0.8656215005599101</v>
      </c>
      <c r="L46" s="10" cm="1">
        <f t="array" ref="L46">(F46)/(F46+H46)</f>
        <v>0.07909604519774011</v>
      </c>
      <c r="M46" s="10" cm="1">
        <f t="array" ref="M46">(F46)/(F46+H46)</f>
        <v>0.07909604519774011</v>
      </c>
      <c r="N46" s="10" cm="1">
        <f t="array" ref="N46">(2*F46)/(2*F46+H46+I46)</f>
        <v>0.134615384615385</v>
      </c>
      <c r="O46" s="10" cm="1">
        <f t="array" ref="O46">G46/(G46+I46)</f>
        <v>0.985376344086022</v>
      </c>
      <c r="P46" s="10" cm="1">
        <f t="array" ref="P46">(M46+O46)/2</f>
        <v>0.532236194641881</v>
      </c>
    </row>
    <row r="47" ht="20.05" customHeight="1">
      <c r="A47" t="s" s="11">
        <v>35</v>
      </c>
      <c r="B47" t="s" s="12">
        <v>18</v>
      </c>
      <c r="C47" t="s" s="13">
        <v>19</v>
      </c>
      <c r="D47" s="14">
        <v>744</v>
      </c>
      <c r="E47" s="14">
        <v>186</v>
      </c>
      <c r="F47" s="14">
        <v>92</v>
      </c>
      <c r="G47" s="14">
        <v>532</v>
      </c>
      <c r="H47" s="14">
        <v>26</v>
      </c>
      <c r="I47" s="14">
        <v>94</v>
      </c>
      <c r="J47" t="s" s="13">
        <v>47</v>
      </c>
      <c r="K47" s="10" cm="1">
        <f t="array" ref="K47">(F47+G47)/(F47+G47+H47+I47)</f>
        <v>0.838709677419355</v>
      </c>
      <c r="L47" s="10" cm="1">
        <f t="array" ref="L47">(F47)/(F47+H47)</f>
        <v>0.779661016949153</v>
      </c>
      <c r="M47" s="10" cm="1">
        <f t="array" ref="M47">(F47)/(F47+H47)</f>
        <v>0.779661016949153</v>
      </c>
      <c r="N47" s="10" cm="1">
        <f t="array" ref="N47">(2*F47)/(2*F47+H47+I47)</f>
        <v>0.6052631578947369</v>
      </c>
      <c r="O47" s="10" cm="1">
        <f t="array" ref="O47">G47/(G47+I47)</f>
        <v>0.849840255591054</v>
      </c>
      <c r="P47" s="10" cm="1">
        <f t="array" ref="P47">(M47+O47)/2</f>
        <v>0.814750636270104</v>
      </c>
    </row>
    <row r="48" ht="20.05" customHeight="1">
      <c r="A48" t="s" s="11">
        <v>35</v>
      </c>
      <c r="B48" t="s" s="12">
        <v>21</v>
      </c>
      <c r="C48" t="s" s="13">
        <v>22</v>
      </c>
      <c r="D48" s="14">
        <v>744</v>
      </c>
      <c r="E48" s="14">
        <v>186</v>
      </c>
      <c r="F48" s="14">
        <v>22</v>
      </c>
      <c r="G48" s="14">
        <v>2453</v>
      </c>
      <c r="H48" s="14">
        <v>164</v>
      </c>
      <c r="I48" s="14">
        <v>40</v>
      </c>
      <c r="J48" t="s" s="13">
        <v>48</v>
      </c>
      <c r="K48" s="10" cm="1">
        <f t="array" ref="K48">(F48+G48)/(F48+G48+H48+I48)</f>
        <v>0.9238521836506161</v>
      </c>
      <c r="L48" s="10" cm="1">
        <f t="array" ref="L48">(F48)/(F48+H48)</f>
        <v>0.118279569892473</v>
      </c>
      <c r="M48" s="10" cm="1">
        <f t="array" ref="M48">(F48)/(F48+H48)</f>
        <v>0.118279569892473</v>
      </c>
      <c r="N48" s="10" cm="1">
        <f t="array" ref="N48">(2*F48)/(2*F48+H48+I48)</f>
        <v>0.17741935483871</v>
      </c>
      <c r="O48" s="10" cm="1">
        <f t="array" ref="O48">G48/(G48+I48)</f>
        <v>0.9839550742077821</v>
      </c>
      <c r="P48" s="10" cm="1">
        <f t="array" ref="P48">(M48+O48)/2</f>
        <v>0.551117322050128</v>
      </c>
    </row>
    <row r="49" ht="20.05" customHeight="1">
      <c r="A49" t="s" s="11">
        <v>37</v>
      </c>
      <c r="B49" t="s" s="12">
        <v>18</v>
      </c>
      <c r="C49" t="s" s="13">
        <v>19</v>
      </c>
      <c r="D49" s="14">
        <v>744</v>
      </c>
      <c r="E49" s="14">
        <v>186</v>
      </c>
      <c r="F49" s="14">
        <v>158</v>
      </c>
      <c r="G49" s="14">
        <v>556</v>
      </c>
      <c r="H49" s="14">
        <v>2</v>
      </c>
      <c r="I49" s="14">
        <v>28</v>
      </c>
      <c r="J49" t="s" s="13">
        <v>38</v>
      </c>
      <c r="K49" s="10" cm="1">
        <f t="array" ref="K49">(F49+G49)/(F49+G49+H49+I49)</f>
        <v>0.959677419354839</v>
      </c>
      <c r="L49" s="10" cm="1">
        <f t="array" ref="L49">(F49)/(F49+H49)</f>
        <v>0.9875</v>
      </c>
      <c r="M49" s="10" cm="1">
        <f t="array" ref="M49">(F49)/(F49+H49)</f>
        <v>0.9875</v>
      </c>
      <c r="N49" s="10" cm="1">
        <f t="array" ref="N49">(2*F49)/(2*F49+H49+I49)</f>
        <v>0.913294797687861</v>
      </c>
      <c r="O49" s="10" cm="1">
        <f t="array" ref="O49">G49/(G49+I49)</f>
        <v>0.952054794520548</v>
      </c>
      <c r="P49" s="10" cm="1">
        <f t="array" ref="P49">(M49+O49)/2</f>
        <v>0.969777397260274</v>
      </c>
    </row>
    <row r="50" ht="20.05" customHeight="1">
      <c r="A50" t="s" s="11">
        <v>37</v>
      </c>
      <c r="B50" t="s" s="12">
        <v>21</v>
      </c>
      <c r="C50" t="s" s="13">
        <v>22</v>
      </c>
      <c r="D50" s="14">
        <v>744</v>
      </c>
      <c r="E50" s="14">
        <v>186</v>
      </c>
      <c r="F50" s="14">
        <v>27</v>
      </c>
      <c r="G50" s="14">
        <v>2383</v>
      </c>
      <c r="H50" s="14">
        <v>234</v>
      </c>
      <c r="I50" s="14">
        <v>35</v>
      </c>
      <c r="J50" t="s" s="13">
        <v>42</v>
      </c>
      <c r="K50" s="10" cm="1">
        <f t="array" ref="K50">(F50+G50)/(F50+G50+H50+I50)</f>
        <v>0.899589399029489</v>
      </c>
      <c r="L50" s="10" cm="1">
        <f t="array" ref="L50">(F50)/(F50+H50)</f>
        <v>0.103448275862069</v>
      </c>
      <c r="M50" s="10" cm="1">
        <f t="array" ref="M50">(F50)/(F50+H50)</f>
        <v>0.103448275862069</v>
      </c>
      <c r="N50" s="10" cm="1">
        <f t="array" ref="N50">(2*F50)/(2*F50+H50+I50)</f>
        <v>0.1671826625387</v>
      </c>
      <c r="O50" s="10" cm="1">
        <f t="array" ref="O50">G50/(G50+I50)</f>
        <v>0.985525227460711</v>
      </c>
      <c r="P50" s="10" cm="1">
        <f t="array" ref="P50">(M50+O50)/2</f>
        <v>0.54448675166139</v>
      </c>
    </row>
    <row r="51" ht="20.05" customHeight="1">
      <c r="A51" t="s" s="11">
        <v>17</v>
      </c>
      <c r="B51" t="s" s="12">
        <v>18</v>
      </c>
      <c r="C51" t="s" s="13">
        <v>19</v>
      </c>
      <c r="D51" s="14">
        <v>744</v>
      </c>
      <c r="E51" s="14">
        <v>186</v>
      </c>
      <c r="F51" s="14">
        <v>71</v>
      </c>
      <c r="G51" s="14">
        <v>530</v>
      </c>
      <c r="H51" s="14">
        <v>28</v>
      </c>
      <c r="I51" s="14">
        <v>115</v>
      </c>
      <c r="J51" t="s" s="13">
        <v>23</v>
      </c>
      <c r="K51" s="10" cm="1">
        <f t="array" ref="K51">(F51+G51)/(F51+G51+H51+I51)</f>
        <v>0.807795698924731</v>
      </c>
      <c r="L51" s="10" cm="1">
        <f t="array" ref="L51">(F51)/(F51+H51)</f>
        <v>0.717171717171717</v>
      </c>
      <c r="M51" s="10" cm="1">
        <f t="array" ref="M51">(F51)/(F51+H51)</f>
        <v>0.717171717171717</v>
      </c>
      <c r="N51" s="10" cm="1">
        <f t="array" ref="N51">(2*F51)/(2*F51+H51+I51)</f>
        <v>0.498245614035088</v>
      </c>
      <c r="O51" s="10" cm="1">
        <f t="array" ref="O51">G51/(G51+I51)</f>
        <v>0.8217054263565891</v>
      </c>
      <c r="P51" s="10" cm="1">
        <f t="array" ref="P51">(M51+O51)/2</f>
        <v>0.769438571764153</v>
      </c>
    </row>
    <row r="52" ht="20.05" customHeight="1">
      <c r="A52" t="s" s="11">
        <v>17</v>
      </c>
      <c r="B52" t="s" s="12">
        <v>21</v>
      </c>
      <c r="C52" t="s" s="13">
        <v>22</v>
      </c>
      <c r="D52" s="14">
        <v>744</v>
      </c>
      <c r="E52" s="14">
        <v>186</v>
      </c>
      <c r="F52" s="14">
        <v>26</v>
      </c>
      <c r="G52" s="14">
        <v>2476</v>
      </c>
      <c r="H52" s="14">
        <v>141</v>
      </c>
      <c r="I52" s="14">
        <v>36</v>
      </c>
      <c r="J52" t="s" s="13">
        <v>23</v>
      </c>
      <c r="K52" s="10" cm="1">
        <f t="array" ref="K52">(F52+G52)/(F52+G52+H52+I52)</f>
        <v>0.933930571108623</v>
      </c>
      <c r="L52" s="10" cm="1">
        <f t="array" ref="L52">(F52)/(F52+H52)</f>
        <v>0.155688622754491</v>
      </c>
      <c r="M52" s="10" cm="1">
        <f t="array" ref="M52">(F52)/(F52+H52)</f>
        <v>0.155688622754491</v>
      </c>
      <c r="N52" s="10" cm="1">
        <f t="array" ref="N52">(2*F52)/(2*F52+H52+I52)</f>
        <v>0.22707423580786</v>
      </c>
      <c r="O52" s="10" cm="1">
        <f t="array" ref="O52">G52/(G52+I52)</f>
        <v>0.985668789808917</v>
      </c>
      <c r="P52" s="10" cm="1">
        <f t="array" ref="P52">(M52+O52)/2</f>
        <v>0.570678706281704</v>
      </c>
    </row>
    <row r="53" ht="20.05" customHeight="1">
      <c r="A53" t="s" s="11">
        <v>24</v>
      </c>
      <c r="B53" t="s" s="12">
        <v>18</v>
      </c>
      <c r="C53" t="s" s="13">
        <v>19</v>
      </c>
      <c r="D53" s="14">
        <v>744</v>
      </c>
      <c r="E53" s="14">
        <v>186</v>
      </c>
      <c r="F53" s="14">
        <v>63</v>
      </c>
      <c r="G53" s="14">
        <v>530</v>
      </c>
      <c r="H53" s="14">
        <v>28</v>
      </c>
      <c r="I53" s="14">
        <v>123</v>
      </c>
      <c r="J53" t="s" s="13">
        <v>23</v>
      </c>
      <c r="K53" s="10" cm="1">
        <f t="array" ref="K53">(F53+G53)/(F53+G53+H53+I53)</f>
        <v>0.797043010752688</v>
      </c>
      <c r="L53" s="10" cm="1">
        <f t="array" ref="L53">(F53)/(F53+H53)</f>
        <v>0.692307692307692</v>
      </c>
      <c r="M53" s="10" cm="1">
        <f t="array" ref="M53">(F53)/(F53+H53)</f>
        <v>0.692307692307692</v>
      </c>
      <c r="N53" s="10" cm="1">
        <f t="array" ref="N53">(2*F53)/(2*F53+H53+I53)</f>
        <v>0.454873646209386</v>
      </c>
      <c r="O53" s="10" cm="1">
        <f t="array" ref="O53">G53/(G53+I53)</f>
        <v>0.811638591117917</v>
      </c>
      <c r="P53" s="10" cm="1">
        <f t="array" ref="P53">(M53+O53)/2</f>
        <v>0.751973141712805</v>
      </c>
    </row>
    <row r="54" ht="20.05" customHeight="1">
      <c r="A54" t="s" s="11">
        <v>24</v>
      </c>
      <c r="B54" t="s" s="12">
        <v>21</v>
      </c>
      <c r="C54" t="s" s="13">
        <v>22</v>
      </c>
      <c r="D54" s="14">
        <v>744</v>
      </c>
      <c r="E54" s="14">
        <v>186</v>
      </c>
      <c r="F54" s="14">
        <v>24</v>
      </c>
      <c r="G54" s="14">
        <v>2494</v>
      </c>
      <c r="H54" s="14">
        <v>123</v>
      </c>
      <c r="I54" s="14">
        <v>38</v>
      </c>
      <c r="J54" t="s" s="13">
        <v>23</v>
      </c>
      <c r="K54" s="10" cm="1">
        <f t="array" ref="K54">(F54+G54)/(F54+G54+H54+I54)</f>
        <v>0.939902948861515</v>
      </c>
      <c r="L54" s="10" cm="1">
        <f t="array" ref="L54">(F54)/(F54+H54)</f>
        <v>0.163265306122449</v>
      </c>
      <c r="M54" s="10" cm="1">
        <f t="array" ref="M54">(F54)/(F54+H54)</f>
        <v>0.163265306122449</v>
      </c>
      <c r="N54" s="10" cm="1">
        <f t="array" ref="N54">(2*F54)/(2*F54+H54+I54)</f>
        <v>0.229665071770335</v>
      </c>
      <c r="O54" s="10" cm="1">
        <f t="array" ref="O54">G54/(G54+I54)</f>
        <v>0.984992101105845</v>
      </c>
      <c r="P54" s="10" cm="1">
        <f t="array" ref="P54">(M54+O54)/2</f>
        <v>0.574128703614147</v>
      </c>
    </row>
    <row r="55" ht="20.05" customHeight="1">
      <c r="A55" t="s" s="11">
        <v>25</v>
      </c>
      <c r="B55" t="s" s="12">
        <v>18</v>
      </c>
      <c r="C55" t="s" s="13">
        <v>19</v>
      </c>
      <c r="D55" s="14">
        <v>744</v>
      </c>
      <c r="E55" s="14">
        <v>186</v>
      </c>
      <c r="F55" s="14">
        <v>186</v>
      </c>
      <c r="G55" s="14">
        <v>558</v>
      </c>
      <c r="H55" s="14">
        <v>0</v>
      </c>
      <c r="I55" s="14">
        <v>0</v>
      </c>
      <c r="J55" t="s" s="13">
        <v>26</v>
      </c>
      <c r="K55" s="10" cm="1">
        <f t="array" ref="K55">(F55+G55)/(F55+G55+H55+I55)</f>
        <v>1</v>
      </c>
      <c r="L55" s="10" cm="1">
        <f t="array" ref="L55">(F55)/(F55+H55)</f>
        <v>1</v>
      </c>
      <c r="M55" s="10" cm="1">
        <f t="array" ref="M55">(F55)/(F55+H55)</f>
        <v>1</v>
      </c>
      <c r="N55" s="10" cm="1">
        <f t="array" ref="N55">(2*F55)/(2*F55+H55+I55)</f>
        <v>1</v>
      </c>
      <c r="O55" s="10" cm="1">
        <f t="array" ref="O55">G55/(G55+I55)</f>
        <v>1</v>
      </c>
      <c r="P55" s="10" cm="1">
        <f t="array" ref="P55">(M55+O55)/2</f>
        <v>1</v>
      </c>
    </row>
    <row r="56" ht="20.05" customHeight="1">
      <c r="A56" t="s" s="11">
        <v>25</v>
      </c>
      <c r="B56" t="s" s="12">
        <v>21</v>
      </c>
      <c r="C56" t="s" s="13">
        <v>22</v>
      </c>
      <c r="D56" s="14">
        <v>744</v>
      </c>
      <c r="E56" s="14">
        <v>186</v>
      </c>
      <c r="F56" s="14">
        <v>32</v>
      </c>
      <c r="G56" s="14">
        <v>2112</v>
      </c>
      <c r="H56" s="14">
        <v>505</v>
      </c>
      <c r="I56" s="14">
        <v>30</v>
      </c>
      <c r="J56" t="s" s="13">
        <v>27</v>
      </c>
      <c r="K56" s="10" cm="1">
        <f t="array" ref="K56">(F56+G56)/(F56+G56+H56+I56)</f>
        <v>0.800298618887645</v>
      </c>
      <c r="L56" s="10" cm="1">
        <f t="array" ref="L56">(F56)/(F56+H56)</f>
        <v>0.0595903165735568</v>
      </c>
      <c r="M56" s="10" cm="1">
        <f t="array" ref="M56">(F56)/(F56+H56)</f>
        <v>0.0595903165735568</v>
      </c>
      <c r="N56" s="10" cm="1">
        <f t="array" ref="N56">(2*F56)/(2*F56+H56+I56)</f>
        <v>0.106844741235392</v>
      </c>
      <c r="O56" s="10" cm="1">
        <f t="array" ref="O56">G56/(G56+I56)</f>
        <v>0.985994397759104</v>
      </c>
      <c r="P56" s="10" cm="1">
        <f t="array" ref="P56">(M56+O56)/2</f>
        <v>0.52279235716633</v>
      </c>
    </row>
    <row r="57" ht="20.05" customHeight="1">
      <c r="A57" t="s" s="11">
        <v>28</v>
      </c>
      <c r="B57" t="s" s="12">
        <v>18</v>
      </c>
      <c r="C57" t="s" s="13">
        <v>19</v>
      </c>
      <c r="D57" s="14">
        <v>744</v>
      </c>
      <c r="E57" s="14">
        <v>186</v>
      </c>
      <c r="F57" s="14">
        <v>186</v>
      </c>
      <c r="G57" s="14">
        <v>558</v>
      </c>
      <c r="H57" s="14">
        <v>0</v>
      </c>
      <c r="I57" s="14">
        <v>0</v>
      </c>
      <c r="J57" t="s" s="13">
        <v>26</v>
      </c>
      <c r="K57" s="10" cm="1">
        <f t="array" ref="K57">(F57+G57)/(F57+G57+H57+I57)</f>
        <v>1</v>
      </c>
      <c r="L57" s="10" cm="1">
        <f t="array" ref="L57">(F57)/(F57+H57)</f>
        <v>1</v>
      </c>
      <c r="M57" s="10" cm="1">
        <f t="array" ref="M57">(F57)/(F57+H57)</f>
        <v>1</v>
      </c>
      <c r="N57" s="10" cm="1">
        <f t="array" ref="N57">(2*F57)/(2*F57+H57+I57)</f>
        <v>1</v>
      </c>
      <c r="O57" s="10" cm="1">
        <f t="array" ref="O57">G57/(G57+I57)</f>
        <v>1</v>
      </c>
      <c r="P57" s="10" cm="1">
        <f t="array" ref="P57">(M57+O57)/2</f>
        <v>1</v>
      </c>
    </row>
    <row r="58" ht="20.05" customHeight="1">
      <c r="A58" t="s" s="11">
        <v>28</v>
      </c>
      <c r="B58" t="s" s="12">
        <v>21</v>
      </c>
      <c r="C58" t="s" s="13">
        <v>22</v>
      </c>
      <c r="D58" s="14">
        <v>744</v>
      </c>
      <c r="E58" s="14">
        <v>186</v>
      </c>
      <c r="F58" s="14">
        <v>34</v>
      </c>
      <c r="G58" s="14">
        <v>2440</v>
      </c>
      <c r="H58" s="14">
        <v>177</v>
      </c>
      <c r="I58" s="14">
        <v>28</v>
      </c>
      <c r="J58" t="s" s="13">
        <v>47</v>
      </c>
      <c r="K58" s="10" cm="1">
        <f t="array" ref="K58">(F58+G58)/(F58+G58+H58+I58)</f>
        <v>0.92347891004106</v>
      </c>
      <c r="L58" s="10" cm="1">
        <f t="array" ref="L58">(F58)/(F58+H58)</f>
        <v>0.161137440758294</v>
      </c>
      <c r="M58" s="10" cm="1">
        <f t="array" ref="M58">(F58)/(F58+H58)</f>
        <v>0.161137440758294</v>
      </c>
      <c r="N58" s="10" cm="1">
        <f t="array" ref="N58">(2*F58)/(2*F58+H58+I58)</f>
        <v>0.249084249084249</v>
      </c>
      <c r="O58" s="10" cm="1">
        <f t="array" ref="O58">G58/(G58+I58)</f>
        <v>0.988654781199352</v>
      </c>
      <c r="P58" s="10" cm="1">
        <f t="array" ref="P58">(M58+O58)/2</f>
        <v>0.574896110978823</v>
      </c>
    </row>
    <row r="59" ht="20.05" customHeight="1">
      <c r="A59" t="s" s="11">
        <v>30</v>
      </c>
      <c r="B59" t="s" s="12">
        <v>18</v>
      </c>
      <c r="C59" t="s" s="13">
        <v>19</v>
      </c>
      <c r="D59" s="14">
        <v>744</v>
      </c>
      <c r="E59" s="14">
        <v>186</v>
      </c>
      <c r="F59" s="14">
        <v>119</v>
      </c>
      <c r="G59" s="14">
        <v>517</v>
      </c>
      <c r="H59" s="14">
        <v>41</v>
      </c>
      <c r="I59" s="14">
        <v>67</v>
      </c>
      <c r="J59" t="s" s="13">
        <v>45</v>
      </c>
      <c r="K59" s="10" cm="1">
        <f t="array" ref="K59">(F59+G59)/(F59+G59+H59+I59)</f>
        <v>0.854838709677419</v>
      </c>
      <c r="L59" s="10" cm="1">
        <f t="array" ref="L59">(F59)/(F59+H59)</f>
        <v>0.74375</v>
      </c>
      <c r="M59" s="10" cm="1">
        <f t="array" ref="M59">(F59)/(F59+H59)</f>
        <v>0.74375</v>
      </c>
      <c r="N59" s="10" cm="1">
        <f t="array" ref="N59">(2*F59)/(2*F59+H59+I59)</f>
        <v>0.687861271676301</v>
      </c>
      <c r="O59" s="10" cm="1">
        <f t="array" ref="O59">G59/(G59+I59)</f>
        <v>0.88527397260274</v>
      </c>
      <c r="P59" s="10" cm="1">
        <f t="array" ref="P59">(M59+O59)/2</f>
        <v>0.81451198630137</v>
      </c>
    </row>
    <row r="60" ht="20.05" customHeight="1">
      <c r="A60" t="s" s="11">
        <v>30</v>
      </c>
      <c r="B60" t="s" s="12">
        <v>21</v>
      </c>
      <c r="C60" t="s" s="13">
        <v>22</v>
      </c>
      <c r="D60" s="14">
        <v>744</v>
      </c>
      <c r="E60" s="14">
        <v>186</v>
      </c>
      <c r="F60" s="14">
        <v>37</v>
      </c>
      <c r="G60" s="14">
        <v>2336</v>
      </c>
      <c r="H60" s="14">
        <v>281</v>
      </c>
      <c r="I60" s="14">
        <v>25</v>
      </c>
      <c r="J60" t="s" s="13">
        <v>34</v>
      </c>
      <c r="K60" s="10" cm="1">
        <f t="array" ref="K60">(F60+G60)/(F60+G60+H60+I60)</f>
        <v>0.885778275475924</v>
      </c>
      <c r="L60" s="10" cm="1">
        <f t="array" ref="L60">(F60)/(F60+H60)</f>
        <v>0.116352201257862</v>
      </c>
      <c r="M60" s="10" cm="1">
        <f t="array" ref="M60">(F60)/(F60+H60)</f>
        <v>0.116352201257862</v>
      </c>
      <c r="N60" s="10" cm="1">
        <f t="array" ref="N60">(2*F60)/(2*F60+H60+I60)</f>
        <v>0.194736842105263</v>
      </c>
      <c r="O60" s="10" cm="1">
        <f t="array" ref="O60">G60/(G60+I60)</f>
        <v>0.989411266412537</v>
      </c>
      <c r="P60" s="10" cm="1">
        <f t="array" ref="P60">(M60+O60)/2</f>
        <v>0.5528817338352</v>
      </c>
    </row>
    <row r="61" ht="20.05" customHeight="1">
      <c r="A61" t="s" s="11">
        <v>33</v>
      </c>
      <c r="B61" t="s" s="12">
        <v>18</v>
      </c>
      <c r="C61" t="s" s="13">
        <v>19</v>
      </c>
      <c r="D61" s="14">
        <v>744</v>
      </c>
      <c r="E61" s="14">
        <v>186</v>
      </c>
      <c r="F61" s="14">
        <v>87</v>
      </c>
      <c r="G61" s="14">
        <v>495</v>
      </c>
      <c r="H61" s="14">
        <v>63</v>
      </c>
      <c r="I61" s="14">
        <v>99</v>
      </c>
      <c r="J61" t="s" s="13">
        <v>34</v>
      </c>
      <c r="K61" s="10" cm="1">
        <f t="array" ref="K61">(F61+G61)/(F61+G61+H61+I61)</f>
        <v>0.782258064516129</v>
      </c>
      <c r="L61" s="10" cm="1">
        <f t="array" ref="L61">(F61)/(F61+H61)</f>
        <v>0.58</v>
      </c>
      <c r="M61" s="10" cm="1">
        <f t="array" ref="M61">(F61)/(F61+H61)</f>
        <v>0.58</v>
      </c>
      <c r="N61" s="10" cm="1">
        <f t="array" ref="N61">(2*F61)/(2*F61+H61+I61)</f>
        <v>0.517857142857143</v>
      </c>
      <c r="O61" s="10" cm="1">
        <f t="array" ref="O61">G61/(G61+I61)</f>
        <v>0.833333333333333</v>
      </c>
      <c r="P61" s="10" cm="1">
        <f t="array" ref="P61">(M61+O61)/2</f>
        <v>0.706666666666667</v>
      </c>
    </row>
    <row r="62" ht="20.05" customHeight="1">
      <c r="A62" t="s" s="11">
        <v>33</v>
      </c>
      <c r="B62" t="s" s="12">
        <v>21</v>
      </c>
      <c r="C62" t="s" s="13">
        <v>22</v>
      </c>
      <c r="D62" s="14">
        <v>744</v>
      </c>
      <c r="E62" s="14">
        <v>186</v>
      </c>
      <c r="F62" s="14">
        <v>32</v>
      </c>
      <c r="G62" s="14">
        <v>2324</v>
      </c>
      <c r="H62" s="14">
        <v>293</v>
      </c>
      <c r="I62" s="14">
        <v>30</v>
      </c>
      <c r="J62" t="s" s="13">
        <v>20</v>
      </c>
      <c r="K62" s="10" cm="1">
        <f t="array" ref="K62">(F62+G62)/(F62+G62+H62+I62)</f>
        <v>0.879432624113475</v>
      </c>
      <c r="L62" s="10" cm="1">
        <f t="array" ref="L62">(F62)/(F62+H62)</f>
        <v>0.0984615384615385</v>
      </c>
      <c r="M62" s="10" cm="1">
        <f t="array" ref="M62">(F62)/(F62+H62)</f>
        <v>0.0984615384615385</v>
      </c>
      <c r="N62" s="10" cm="1">
        <f t="array" ref="N62">(2*F62)/(2*F62+H62+I62)</f>
        <v>0.165374677002584</v>
      </c>
      <c r="O62" s="10" cm="1">
        <f t="array" ref="O62">G62/(G62+I62)</f>
        <v>0.987255734919286</v>
      </c>
      <c r="P62" s="10" cm="1">
        <f t="array" ref="P62">(M62+O62)/2</f>
        <v>0.542858636690412</v>
      </c>
    </row>
    <row r="63" ht="20.05" customHeight="1">
      <c r="A63" t="s" s="11">
        <v>35</v>
      </c>
      <c r="B63" t="s" s="12">
        <v>18</v>
      </c>
      <c r="C63" t="s" s="13">
        <v>19</v>
      </c>
      <c r="D63" s="14">
        <v>744</v>
      </c>
      <c r="E63" s="14">
        <v>186</v>
      </c>
      <c r="F63" s="14">
        <v>74</v>
      </c>
      <c r="G63" s="14">
        <v>536</v>
      </c>
      <c r="H63" s="14">
        <v>22</v>
      </c>
      <c r="I63" s="14">
        <v>112</v>
      </c>
      <c r="J63" t="s" s="13">
        <v>47</v>
      </c>
      <c r="K63" s="10" cm="1">
        <f t="array" ref="K63">(F63+G63)/(F63+G63+H63+I63)</f>
        <v>0.81989247311828</v>
      </c>
      <c r="L63" s="10" cm="1">
        <f t="array" ref="L63">(F63)/(F63+H63)</f>
        <v>0.770833333333333</v>
      </c>
      <c r="M63" s="10" cm="1">
        <f t="array" ref="M63">(F63)/(F63+H63)</f>
        <v>0.770833333333333</v>
      </c>
      <c r="N63" s="10" cm="1">
        <f t="array" ref="N63">(2*F63)/(2*F63+H63+I63)</f>
        <v>0.524822695035461</v>
      </c>
      <c r="O63" s="10" cm="1">
        <f t="array" ref="O63">G63/(G63+I63)</f>
        <v>0.8271604938271599</v>
      </c>
      <c r="P63" s="10" cm="1">
        <f t="array" ref="P63">(M63+O63)/2</f>
        <v>0.798996913580247</v>
      </c>
    </row>
    <row r="64" ht="20.05" customHeight="1">
      <c r="A64" t="s" s="11">
        <v>35</v>
      </c>
      <c r="B64" t="s" s="12">
        <v>21</v>
      </c>
      <c r="C64" t="s" s="13">
        <v>22</v>
      </c>
      <c r="D64" s="14">
        <v>744</v>
      </c>
      <c r="E64" s="14">
        <v>186</v>
      </c>
      <c r="F64" s="14">
        <v>25</v>
      </c>
      <c r="G64" s="14">
        <v>2493</v>
      </c>
      <c r="H64" s="14">
        <v>124</v>
      </c>
      <c r="I64" s="14">
        <v>37</v>
      </c>
      <c r="J64" t="s" s="13">
        <v>23</v>
      </c>
      <c r="K64" s="10" cm="1">
        <f t="array" ref="K64">(F64+G64)/(F64+G64+H64+I64)</f>
        <v>0.939902948861515</v>
      </c>
      <c r="L64" s="10" cm="1">
        <f t="array" ref="L64">(F64)/(F64+H64)</f>
        <v>0.167785234899329</v>
      </c>
      <c r="M64" s="10" cm="1">
        <f t="array" ref="M64">(F64)/(F64+H64)</f>
        <v>0.167785234899329</v>
      </c>
      <c r="N64" s="10" cm="1">
        <f t="array" ref="N64">(2*F64)/(2*F64+H64+I64)</f>
        <v>0.23696682464455</v>
      </c>
      <c r="O64" s="10" cm="1">
        <f t="array" ref="O64">G64/(G64+I64)</f>
        <v>0.985375494071146</v>
      </c>
      <c r="P64" s="10" cm="1">
        <f t="array" ref="P64">(M64+O64)/2</f>
        <v>0.576580364485238</v>
      </c>
    </row>
    <row r="65" ht="20.05" customHeight="1">
      <c r="A65" t="s" s="11">
        <v>37</v>
      </c>
      <c r="B65" t="s" s="12">
        <v>18</v>
      </c>
      <c r="C65" t="s" s="13">
        <v>19</v>
      </c>
      <c r="D65" s="14">
        <v>744</v>
      </c>
      <c r="E65" s="14">
        <v>186</v>
      </c>
      <c r="F65" s="14">
        <v>156</v>
      </c>
      <c r="G65" s="14">
        <v>553</v>
      </c>
      <c r="H65" s="14">
        <v>5</v>
      </c>
      <c r="I65" s="14">
        <v>30</v>
      </c>
      <c r="J65" t="s" s="13">
        <v>38</v>
      </c>
      <c r="K65" s="10" cm="1">
        <f t="array" ref="K65">(F65+G65)/(F65+G65+H65+I65)</f>
        <v>0.952956989247312</v>
      </c>
      <c r="L65" s="10" cm="1">
        <f t="array" ref="L65">(F65)/(F65+H65)</f>
        <v>0.968944099378882</v>
      </c>
      <c r="M65" s="10" cm="1">
        <f t="array" ref="M65">(F65)/(F65+H65)</f>
        <v>0.968944099378882</v>
      </c>
      <c r="N65" s="10" cm="1">
        <f t="array" ref="N65">(2*F65)/(2*F65+H65+I65)</f>
        <v>0.899135446685879</v>
      </c>
      <c r="O65" s="10" cm="1">
        <f t="array" ref="O65">G65/(G65+I65)</f>
        <v>0.948542024013722</v>
      </c>
      <c r="P65" s="10" cm="1">
        <f t="array" ref="P65">(M65+O65)/2</f>
        <v>0.958743061696302</v>
      </c>
    </row>
    <row r="66" ht="20.05" customHeight="1">
      <c r="A66" t="s" s="11">
        <v>37</v>
      </c>
      <c r="B66" t="s" s="12">
        <v>21</v>
      </c>
      <c r="C66" t="s" s="13">
        <v>22</v>
      </c>
      <c r="D66" s="14">
        <v>744</v>
      </c>
      <c r="E66" s="14">
        <v>186</v>
      </c>
      <c r="F66" s="14">
        <v>34</v>
      </c>
      <c r="G66" s="14">
        <v>2397</v>
      </c>
      <c r="H66" s="14">
        <v>220</v>
      </c>
      <c r="I66" s="14">
        <v>28</v>
      </c>
      <c r="J66" t="s" s="13">
        <v>29</v>
      </c>
      <c r="K66" s="15" cm="1">
        <f t="array" ref="K66">(F66+G66)/(F66+G66+H66+I66)</f>
        <v>0.907428144830161</v>
      </c>
      <c r="L66" s="15" cm="1">
        <f t="array" ref="L66">(F66)/(F66+H66)</f>
        <v>0.133858267716535</v>
      </c>
      <c r="M66" s="15" cm="1">
        <f t="array" ref="M66">(F66)/(F66+H66)</f>
        <v>0.133858267716535</v>
      </c>
      <c r="N66" s="15" cm="1">
        <f t="array" ref="N66">(2*F66)/(2*F66+H66+I66)</f>
        <v>0.215189873417722</v>
      </c>
      <c r="O66" s="15" cm="1">
        <f t="array" ref="O66">G66/(G66+I66)</f>
        <v>0.988453608247423</v>
      </c>
      <c r="P66" s="15" cm="1">
        <f t="array" ref="P66">(M66+O66)/2</f>
        <v>0.561155937981979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